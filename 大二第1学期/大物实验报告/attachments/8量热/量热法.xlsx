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FileRecv\"/>
    </mc:Choice>
  </mc:AlternateContent>
  <xr:revisionPtr revIDLastSave="0" documentId="13_ncr:1_{0C152E22-61AA-4EC8-99C8-6786FC553E3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Print_Area" localSheetId="0">Sheet1!$A$1:$E$27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1" l="1"/>
  <c r="D6" i="1"/>
  <c r="D4" i="1"/>
  <c r="D3" i="1"/>
  <c r="D2" i="1"/>
</calcChain>
</file>

<file path=xl/sharedStrings.xml><?xml version="1.0" encoding="utf-8"?>
<sst xmlns="http://schemas.openxmlformats.org/spreadsheetml/2006/main" count="15" uniqueCount="15">
  <si>
    <t>质量m(克)</t>
    <phoneticPr fontId="1" type="noConversion"/>
  </si>
  <si>
    <r>
      <t>量热器的内筒m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1" type="noConversion"/>
  </si>
  <si>
    <r>
      <rPr>
        <sz val="8"/>
        <color theme="1"/>
        <rFont val="等线"/>
        <family val="3"/>
        <charset val="134"/>
        <scheme val="minor"/>
      </rPr>
      <t>数字温度计插入水中的体积V</t>
    </r>
    <r>
      <rPr>
        <sz val="8"/>
        <color theme="1"/>
        <rFont val="等线"/>
        <family val="3"/>
        <charset val="134"/>
      </rPr>
      <t>≈0.5cm</t>
    </r>
    <r>
      <rPr>
        <vertAlign val="superscript"/>
        <sz val="8"/>
        <color theme="1"/>
        <rFont val="等线"/>
        <family val="3"/>
        <charset val="134"/>
      </rPr>
      <t>3</t>
    </r>
    <r>
      <rPr>
        <sz val="8"/>
        <color theme="1"/>
        <rFont val="等线"/>
        <family val="3"/>
        <charset val="134"/>
      </rPr>
      <t>，代入0.76卡/度，算出其热容量</t>
    </r>
    <phoneticPr fontId="1" type="noConversion"/>
  </si>
  <si>
    <t>时间t（分）</t>
    <phoneticPr fontId="1" type="noConversion"/>
  </si>
  <si>
    <t>温度T(℃)</t>
    <phoneticPr fontId="1" type="noConversion"/>
  </si>
  <si>
    <t>电流I（A）</t>
    <phoneticPr fontId="1" type="noConversion"/>
  </si>
  <si>
    <t>电压U（V）</t>
    <phoneticPr fontId="1" type="noConversion"/>
  </si>
  <si>
    <t xml:space="preserve">  热容量mC（卡/度）</t>
    <phoneticPr fontId="1" type="noConversion"/>
  </si>
  <si>
    <t xml:space="preserve">  比热C（卡/克·度）</t>
    <phoneticPr fontId="1" type="noConversion"/>
  </si>
  <si>
    <t>自然冷却</t>
    <phoneticPr fontId="1" type="noConversion"/>
  </si>
  <si>
    <r>
      <t>水的质量m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</si>
  <si>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r>
      <t>搅拌器和胶木的铜m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</si>
  <si>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∑mC=m1C1+m2C2+m3C+0.76V</t>
    <phoneticPr fontId="1" type="noConversion"/>
  </si>
  <si>
    <r>
      <t xml:space="preserve">         t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=  6.28分     ；T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=31.9℃</t>
    </r>
    <phoneticPr fontId="1" type="noConversion"/>
  </si>
  <si>
    <t xml:space="preserve">      Ī= 1.935 A       ；      Ū= 10.730  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</si>
</sst>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0.0_ "/>
    <numFmt numFmtId="179" formatCode="0.0"/>
    <numFmt numFmtId="180" formatCode="0.00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8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</font>
    <font>
      <vertAlign val="superscript"/>
      <sz val="8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76" fontId="0" fillId="0" borderId="9" xfId="0" applyNumberForma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Sheet1!$H$2:$H$5</c:f>
              <c:numCache>
                <c:formatCode>General</c:formatCode>
                <c:ptCount val="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 formatCode="0.00_ ">
                  <c:v>0</c:v>
                </c:pt>
              </c:numCache>
            </c:numRef>
          </c:xVal>
          <c:yVal>
            <c:numRef>
              <c:f>Sheet1!$K$2:$K$5</c:f>
              <c:numCache>
                <c:formatCode>General</c:formatCode>
                <c:ptCount val="4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FC-4DDB-B702-3352B454311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Sheet1!$H$5:$H$10</c:f>
              <c:numCache>
                <c:formatCode>0.00_ 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Sheet1!$I$5:$I$11</c:f>
              <c:numCache>
                <c:formatCode>0.0</c:formatCode>
                <c:ptCount val="7"/>
                <c:pt idx="0" formatCode="General">
                  <c:v>24.5</c:v>
                </c:pt>
                <c:pt idx="1">
                  <c:v>26</c:v>
                </c:pt>
                <c:pt idx="2" formatCode="General">
                  <c:v>27.5</c:v>
                </c:pt>
                <c:pt idx="3" formatCode="General">
                  <c:v>28.9</c:v>
                </c:pt>
                <c:pt idx="4" formatCode="General">
                  <c:v>30.5</c:v>
                </c:pt>
                <c:pt idx="5" formatCode="General">
                  <c:v>31.7</c:v>
                </c:pt>
                <c:pt idx="6" formatCode="General">
                  <c:v>31.9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FC-4DDB-B702-3352B4543111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backward val="3.3"/>
            <c:dispRSqr val="1"/>
            <c:dispEq val="1"/>
            <c:trendlineLbl>
              <c:layout>
                <c:manualLayout>
                  <c:x val="1.4177602799650043E-2"/>
                  <c:y val="-0.1211588655584718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T = -0.1605t + 32.867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0.9892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Sheet1!$H$11:$H$17</c:f>
              <c:numCache>
                <c:formatCode>0.00_ </c:formatCode>
                <c:ptCount val="7"/>
                <c:pt idx="0">
                  <c:v>6.28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</c:numCache>
            </c:numRef>
          </c:xVal>
          <c:yVal>
            <c:numRef>
              <c:f>Sheet1!$J$11:$J$17</c:f>
              <c:numCache>
                <c:formatCode>General</c:formatCode>
                <c:ptCount val="7"/>
                <c:pt idx="0">
                  <c:v>31.9</c:v>
                </c:pt>
                <c:pt idx="1">
                  <c:v>31.8</c:v>
                </c:pt>
                <c:pt idx="2">
                  <c:v>31.4</c:v>
                </c:pt>
                <c:pt idx="3" formatCode="0.0">
                  <c:v>31</c:v>
                </c:pt>
                <c:pt idx="4">
                  <c:v>30.7</c:v>
                </c:pt>
                <c:pt idx="5">
                  <c:v>30.5</c:v>
                </c:pt>
                <c:pt idx="6" formatCode="0.0_ ">
                  <c:v>30.2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FC-4DDB-B702-3352B4543111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  <a:effectLst/>
            </c:spPr>
          </c:marker>
          <c:xVal>
            <c:numRef>
              <c:f>Sheet1!$H$10:$H$11</c:f>
              <c:numCache>
                <c:formatCode>0.00_ </c:formatCode>
                <c:ptCount val="2"/>
                <c:pt idx="0">
                  <c:v>5</c:v>
                </c:pt>
                <c:pt idx="1">
                  <c:v>6.28</c:v>
                </c:pt>
              </c:numCache>
            </c:numRef>
          </c:xVal>
          <c:yVal>
            <c:numRef>
              <c:f>Sheet1!$L$10:$L$11</c:f>
              <c:numCache>
                <c:formatCode>General</c:formatCode>
                <c:ptCount val="2"/>
                <c:pt idx="0">
                  <c:v>31.7</c:v>
                </c:pt>
                <c:pt idx="1">
                  <c:v>31.9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FC-4DDB-B702-3352B454311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444444444444497E-2"/>
                  <c:y val="-0.11111111111111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FC-4DDB-B702-3352B454311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Sheet1!$H$1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Sheet1!$M$1</c:f>
              <c:numCache>
                <c:formatCode>General</c:formatCode>
                <c:ptCount val="1"/>
                <c:pt idx="0">
                  <c:v>32.363029999999995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FC-4DDB-B702-3352B4543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9871"/>
        <c:axId val="16575151"/>
      </c:scatterChart>
      <c:valAx>
        <c:axId val="16569871"/>
        <c:scaling>
          <c:orientation val="minMax"/>
          <c:max val="20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75151"/>
        <c:crosses val="autoZero"/>
        <c:crossBetween val="midCat"/>
      </c:valAx>
      <c:valAx>
        <c:axId val="16575151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6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508907</xdr:colOff>
      <xdr:row>14</xdr:row>
      <xdr:rowOff>906</xdr:rowOff>
    </xdr:from>
    <xdr:to>
      <xdr:col>18</xdr:col>
      <xdr:colOff>240393</xdr:colOff>
      <xdr:row>29</xdr:row>
      <xdr:rowOff>22677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58BD2F4-692F-E49A-49BE-491BA6AD1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zoomScaleSheetLayoutView="135" workbookViewId="0">
      <selection activeCell="P9" sqref="P9"/>
    </sheetView>
  </sheetViews>
  <sheetFormatPr defaultRowHeight="14" x14ac:dyDescent="0.3"/>
  <cols>
    <col min="1" max="1" width="18.75" customWidth="1"/>
    <col min="3" max="3" width="15.75" customWidth="1"/>
    <col min="4" max="4" width="18.25" customWidth="1"/>
  </cols>
  <sheetData>
    <row r="1" spans="1:13" ht="45.5" customHeight="1" x14ac:dyDescent="0.3">
      <c r="A1" s="3"/>
      <c r="B1" s="3" t="s">
        <v>0</v>
      </c>
      <c r="C1" s="3" t="s">
        <v>8</v>
      </c>
      <c r="D1" s="3" t="s">
        <v>7</v>
      </c>
      <c r="H1">
        <v>3.14</v>
      </c>
      <c r="M1">
        <f>-0.1605*6.28/2+32.867</f>
        <v>32.363029999999995</v>
      </c>
    </row>
    <row r="2" spans="1:13" ht="16" x14ac:dyDescent="0.3">
      <c r="A2" s="3" t="s">
        <v>1</v>
      </c>
      <c r="B2" s="18">
        <v>275.8</v>
      </c>
      <c r="C2" s="3">
        <v>9.1999999999999998E-2</v>
      </c>
      <c r="D2" s="5">
        <f>B2*C2</f>
        <v>25.3736</v>
      </c>
      <c r="H2">
        <v>-3</v>
      </c>
      <c r="K2">
        <v>24.5</v>
      </c>
    </row>
    <row r="3" spans="1:13" ht="16" x14ac:dyDescent="0.3">
      <c r="A3" s="3" t="s">
        <v>11</v>
      </c>
      <c r="B3" s="18">
        <v>59</v>
      </c>
      <c r="C3" s="3">
        <v>9.1999999999999998E-2</v>
      </c>
      <c r="D3" s="5">
        <f>B3*C3</f>
        <v>5.4279999999999999</v>
      </c>
      <c r="H3">
        <v>-2</v>
      </c>
      <c r="K3">
        <v>24.5</v>
      </c>
    </row>
    <row r="4" spans="1:13" ht="16" x14ac:dyDescent="0.3">
      <c r="A4" s="3" t="s">
        <v>10</v>
      </c>
      <c r="B4" s="4">
        <v>148.12</v>
      </c>
      <c r="C4" s="4">
        <v>1</v>
      </c>
      <c r="D4" s="4">
        <f>B4*C4</f>
        <v>148.12</v>
      </c>
      <c r="H4">
        <v>-1</v>
      </c>
      <c r="K4">
        <v>24.5</v>
      </c>
    </row>
    <row r="5" spans="1:13" x14ac:dyDescent="0.3">
      <c r="A5" s="10" t="s">
        <v>2</v>
      </c>
      <c r="B5" s="11"/>
      <c r="C5" s="11"/>
      <c r="D5" s="3">
        <v>0.38</v>
      </c>
      <c r="H5" s="2">
        <v>0</v>
      </c>
      <c r="I5" s="1">
        <v>24.5</v>
      </c>
      <c r="K5">
        <v>24.5</v>
      </c>
    </row>
    <row r="6" spans="1:13" x14ac:dyDescent="0.3">
      <c r="A6" s="20" t="s">
        <v>12</v>
      </c>
      <c r="B6" s="21"/>
      <c r="C6" s="22"/>
      <c r="D6" s="5">
        <f>SUM(D2:D5)</f>
        <v>179.30160000000001</v>
      </c>
      <c r="H6" s="2">
        <v>1</v>
      </c>
      <c r="I6" s="23">
        <v>26</v>
      </c>
    </row>
    <row r="7" spans="1:13" x14ac:dyDescent="0.3">
      <c r="H7" s="2">
        <v>2</v>
      </c>
      <c r="I7" s="1">
        <v>27.5</v>
      </c>
    </row>
    <row r="8" spans="1:13" x14ac:dyDescent="0.3">
      <c r="H8" s="2">
        <v>3</v>
      </c>
      <c r="I8" s="1">
        <v>28.9</v>
      </c>
    </row>
    <row r="9" spans="1:13" x14ac:dyDescent="0.3">
      <c r="A9" s="1" t="s">
        <v>3</v>
      </c>
      <c r="B9" s="1" t="s">
        <v>4</v>
      </c>
      <c r="C9" s="1" t="s">
        <v>5</v>
      </c>
      <c r="D9" s="1" t="s">
        <v>6</v>
      </c>
      <c r="H9" s="2">
        <v>4</v>
      </c>
      <c r="I9" s="1">
        <v>30.5</v>
      </c>
    </row>
    <row r="10" spans="1:13" x14ac:dyDescent="0.3">
      <c r="A10" s="2">
        <v>0</v>
      </c>
      <c r="B10" s="1">
        <v>24.5</v>
      </c>
      <c r="C10" s="26">
        <v>1.94</v>
      </c>
      <c r="D10" s="26">
        <v>10.73</v>
      </c>
      <c r="H10" s="2">
        <v>5</v>
      </c>
      <c r="I10" s="1">
        <v>31.7</v>
      </c>
      <c r="L10" s="1">
        <v>31.7</v>
      </c>
    </row>
    <row r="11" spans="1:13" x14ac:dyDescent="0.3">
      <c r="A11" s="2">
        <v>1</v>
      </c>
      <c r="B11" s="23">
        <v>26</v>
      </c>
      <c r="C11" s="26">
        <v>1.93</v>
      </c>
      <c r="D11" s="26">
        <v>10.7</v>
      </c>
      <c r="H11" s="28">
        <v>6.28</v>
      </c>
      <c r="I11" s="8">
        <v>31.9</v>
      </c>
      <c r="J11" s="9">
        <v>31.9</v>
      </c>
      <c r="L11" s="8">
        <v>31.9</v>
      </c>
    </row>
    <row r="12" spans="1:13" x14ac:dyDescent="0.3">
      <c r="A12" s="2">
        <v>2</v>
      </c>
      <c r="B12" s="1">
        <v>27.5</v>
      </c>
      <c r="C12" s="1">
        <v>1.9350000000000001</v>
      </c>
      <c r="D12" s="1">
        <v>10.738</v>
      </c>
      <c r="H12" s="2">
        <v>7</v>
      </c>
      <c r="J12" s="3">
        <v>31.8</v>
      </c>
    </row>
    <row r="13" spans="1:13" x14ac:dyDescent="0.3">
      <c r="A13" s="2">
        <v>3</v>
      </c>
      <c r="B13" s="1">
        <v>28.9</v>
      </c>
      <c r="C13" s="1">
        <v>1.923</v>
      </c>
      <c r="D13" s="1">
        <v>10.742000000000001</v>
      </c>
      <c r="H13" s="2">
        <v>9</v>
      </c>
      <c r="J13" s="3">
        <v>31.4</v>
      </c>
    </row>
    <row r="14" spans="1:13" x14ac:dyDescent="0.3">
      <c r="A14" s="2">
        <v>4</v>
      </c>
      <c r="B14" s="1">
        <v>30.5</v>
      </c>
      <c r="C14" s="1">
        <v>1.9350000000000001</v>
      </c>
      <c r="D14" s="26">
        <v>10.74</v>
      </c>
      <c r="H14" s="2">
        <v>11</v>
      </c>
      <c r="J14" s="19">
        <v>31</v>
      </c>
    </row>
    <row r="15" spans="1:13" x14ac:dyDescent="0.3">
      <c r="A15" s="2">
        <v>5</v>
      </c>
      <c r="B15" s="1">
        <v>31.7</v>
      </c>
      <c r="C15" s="1">
        <v>1.9330000000000001</v>
      </c>
      <c r="D15" s="26">
        <v>10.73</v>
      </c>
      <c r="H15" s="2">
        <v>13</v>
      </c>
      <c r="J15" s="3">
        <v>30.7</v>
      </c>
    </row>
    <row r="16" spans="1:13" ht="16" x14ac:dyDescent="0.4">
      <c r="A16" s="24" t="s">
        <v>13</v>
      </c>
      <c r="B16" s="25"/>
      <c r="C16" s="12" t="s">
        <v>14</v>
      </c>
      <c r="D16" s="13"/>
      <c r="H16" s="2">
        <v>15</v>
      </c>
      <c r="J16" s="3">
        <v>30.5</v>
      </c>
    </row>
    <row r="17" spans="1:10" x14ac:dyDescent="0.3">
      <c r="A17" s="2">
        <v>7</v>
      </c>
      <c r="B17" s="3">
        <v>31.8</v>
      </c>
      <c r="C17" s="14" t="s">
        <v>9</v>
      </c>
      <c r="D17" s="15"/>
      <c r="H17" s="2">
        <v>17</v>
      </c>
      <c r="J17" s="7">
        <v>30.2</v>
      </c>
    </row>
    <row r="18" spans="1:10" x14ac:dyDescent="0.3">
      <c r="A18" s="2">
        <v>9</v>
      </c>
      <c r="B18" s="3">
        <v>31.4</v>
      </c>
      <c r="C18" s="14"/>
      <c r="D18" s="15"/>
    </row>
    <row r="19" spans="1:10" x14ac:dyDescent="0.3">
      <c r="A19" s="2">
        <v>11</v>
      </c>
      <c r="B19" s="19">
        <v>31</v>
      </c>
      <c r="C19" s="14"/>
      <c r="D19" s="15"/>
    </row>
    <row r="20" spans="1:10" x14ac:dyDescent="0.3">
      <c r="A20" s="2">
        <v>13</v>
      </c>
      <c r="B20" s="3">
        <v>30.7</v>
      </c>
      <c r="C20" s="14"/>
      <c r="D20" s="15"/>
    </row>
    <row r="21" spans="1:10" x14ac:dyDescent="0.3">
      <c r="A21" s="2">
        <v>15</v>
      </c>
      <c r="B21" s="3">
        <v>30.5</v>
      </c>
      <c r="C21" s="14"/>
      <c r="D21" s="15"/>
    </row>
    <row r="22" spans="1:10" x14ac:dyDescent="0.3">
      <c r="A22" s="2">
        <v>17</v>
      </c>
      <c r="B22" s="7">
        <v>30.2</v>
      </c>
      <c r="C22" s="14"/>
      <c r="D22" s="15"/>
      <c r="F22" s="2">
        <v>0</v>
      </c>
    </row>
    <row r="23" spans="1:10" x14ac:dyDescent="0.3">
      <c r="A23" s="6"/>
      <c r="B23" s="27"/>
      <c r="C23" s="16"/>
      <c r="D23" s="17"/>
      <c r="F23" s="2">
        <v>1</v>
      </c>
    </row>
    <row r="24" spans="1:10" x14ac:dyDescent="0.3">
      <c r="F24" s="2">
        <v>2</v>
      </c>
    </row>
    <row r="25" spans="1:10" x14ac:dyDescent="0.3">
      <c r="F25" s="2">
        <v>3</v>
      </c>
    </row>
    <row r="26" spans="1:10" x14ac:dyDescent="0.3">
      <c r="F26" s="2">
        <v>4</v>
      </c>
    </row>
    <row r="27" spans="1:10" x14ac:dyDescent="0.3">
      <c r="F27" s="2">
        <v>5</v>
      </c>
    </row>
    <row r="28" spans="1:10" x14ac:dyDescent="0.3">
      <c r="F28" s="28">
        <v>6.28</v>
      </c>
    </row>
    <row r="29" spans="1:10" x14ac:dyDescent="0.3">
      <c r="F29" s="2">
        <v>7</v>
      </c>
    </row>
    <row r="30" spans="1:10" x14ac:dyDescent="0.3">
      <c r="F30" s="2">
        <v>9</v>
      </c>
    </row>
    <row r="31" spans="1:10" x14ac:dyDescent="0.3">
      <c r="F31" s="2">
        <v>11</v>
      </c>
    </row>
    <row r="32" spans="1:10" x14ac:dyDescent="0.3">
      <c r="F32" s="2">
        <v>13</v>
      </c>
    </row>
    <row r="33" spans="6:6" x14ac:dyDescent="0.3">
      <c r="F33" s="2">
        <v>15</v>
      </c>
    </row>
    <row r="34" spans="6:6" x14ac:dyDescent="0.3">
      <c r="F34" s="2">
        <v>17</v>
      </c>
    </row>
  </sheetData>
  <mergeCells count="5">
    <mergeCell ref="A5:C5"/>
    <mergeCell ref="A16:B16"/>
    <mergeCell ref="C16:D16"/>
    <mergeCell ref="C17:D23"/>
    <mergeCell ref="A6:C6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Yingzhao</dc:creator>
  <cp:lastModifiedBy>alkali soir</cp:lastModifiedBy>
  <dcterms:created xsi:type="dcterms:W3CDTF">2015-06-05T18:19:34Z</dcterms:created>
  <dcterms:modified xsi:type="dcterms:W3CDTF">2025-11-10T11:13:25Z</dcterms:modified>
</cp:coreProperties>
</file>