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2024.6.25-eeeeeeeeeeeeeeeeeeeee\大三第一学期作业\化工基础实验\"/>
    </mc:Choice>
  </mc:AlternateContent>
  <xr:revisionPtr revIDLastSave="0" documentId="13_ncr:1_{C4A077FF-14FB-41DD-9033-2758E4865D0F}" xr6:coauthVersionLast="47" xr6:coauthVersionMax="47" xr10:uidLastSave="{00000000-0000-0000-0000-000000000000}"/>
  <bookViews>
    <workbookView xWindow="0" yWindow="0" windowWidth="9600" windowHeight="10200" activeTab="1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" i="4" l="1"/>
  <c r="E15" i="2"/>
  <c r="D15" i="2"/>
  <c r="C15" i="2"/>
  <c r="B15" i="2"/>
  <c r="A15" i="2"/>
  <c r="AA15" i="1"/>
  <c r="AA16" i="1"/>
  <c r="AA17" i="1"/>
  <c r="AA18" i="1"/>
  <c r="AA19" i="1"/>
  <c r="AA20" i="1"/>
  <c r="AA21" i="1"/>
  <c r="AA14" i="1"/>
  <c r="K30" i="4"/>
  <c r="J30" i="4"/>
  <c r="I30" i="4"/>
  <c r="H30" i="4"/>
  <c r="G30" i="4"/>
  <c r="F30" i="4"/>
  <c r="E30" i="4"/>
  <c r="D30" i="4"/>
  <c r="C30" i="4"/>
  <c r="B30" i="4"/>
  <c r="K26" i="4"/>
  <c r="J26" i="4"/>
  <c r="I26" i="4"/>
  <c r="H26" i="4"/>
  <c r="G26" i="4"/>
  <c r="F26" i="4"/>
  <c r="E26" i="4"/>
  <c r="D26" i="4"/>
  <c r="C26" i="4"/>
  <c r="B26" i="4"/>
  <c r="N23" i="4"/>
  <c r="N6" i="4" s="1"/>
  <c r="F23" i="4"/>
  <c r="F24" i="4" s="1"/>
  <c r="F27" i="4" s="1"/>
  <c r="F28" i="4" s="1"/>
  <c r="D23" i="4"/>
  <c r="D24" i="4" s="1"/>
  <c r="D27" i="4" s="1"/>
  <c r="D28" i="4" s="1"/>
  <c r="O22" i="4"/>
  <c r="O23" i="4" s="1"/>
  <c r="O6" i="4" s="1"/>
  <c r="N22" i="4"/>
  <c r="M22" i="4"/>
  <c r="M23" i="4" s="1"/>
  <c r="M6" i="4" s="1"/>
  <c r="K22" i="4"/>
  <c r="J22" i="4"/>
  <c r="I22" i="4"/>
  <c r="H22" i="4"/>
  <c r="G22" i="4"/>
  <c r="F22" i="4"/>
  <c r="E22" i="4"/>
  <c r="D22" i="4"/>
  <c r="C22" i="4"/>
  <c r="B22" i="4"/>
  <c r="K21" i="4"/>
  <c r="K25" i="4" s="1"/>
  <c r="K29" i="4" s="1"/>
  <c r="I21" i="4"/>
  <c r="I25" i="4" s="1"/>
  <c r="I29" i="4" s="1"/>
  <c r="G21" i="4"/>
  <c r="G25" i="4" s="1"/>
  <c r="G29" i="4" s="1"/>
  <c r="F21" i="4"/>
  <c r="F25" i="4" s="1"/>
  <c r="F29" i="4" s="1"/>
  <c r="D21" i="4"/>
  <c r="D25" i="4" s="1"/>
  <c r="D29" i="4" s="1"/>
  <c r="C21" i="4"/>
  <c r="C25" i="4" s="1"/>
  <c r="C29" i="4" s="1"/>
  <c r="P20" i="4"/>
  <c r="P22" i="4" s="1"/>
  <c r="P23" i="4" s="1"/>
  <c r="P6" i="4" s="1"/>
  <c r="O20" i="4"/>
  <c r="N20" i="4"/>
  <c r="M20" i="4"/>
  <c r="L20" i="4"/>
  <c r="L22" i="4" s="1"/>
  <c r="L6" i="4" s="1"/>
  <c r="K20" i="4"/>
  <c r="K23" i="4" s="1"/>
  <c r="K24" i="4" s="1"/>
  <c r="K27" i="4" s="1"/>
  <c r="K28" i="4" s="1"/>
  <c r="J20" i="4"/>
  <c r="J23" i="4" s="1"/>
  <c r="J24" i="4" s="1"/>
  <c r="J27" i="4" s="1"/>
  <c r="J28" i="4" s="1"/>
  <c r="I20" i="4"/>
  <c r="I23" i="4" s="1"/>
  <c r="I24" i="4" s="1"/>
  <c r="I27" i="4" s="1"/>
  <c r="I28" i="4" s="1"/>
  <c r="H20" i="4"/>
  <c r="H23" i="4" s="1"/>
  <c r="H24" i="4" s="1"/>
  <c r="H27" i="4" s="1"/>
  <c r="H28" i="4" s="1"/>
  <c r="G20" i="4"/>
  <c r="G23" i="4" s="1"/>
  <c r="G24" i="4" s="1"/>
  <c r="G27" i="4" s="1"/>
  <c r="G28" i="4" s="1"/>
  <c r="F20" i="4"/>
  <c r="E20" i="4"/>
  <c r="E23" i="4" s="1"/>
  <c r="E24" i="4" s="1"/>
  <c r="E27" i="4" s="1"/>
  <c r="E28" i="4" s="1"/>
  <c r="D20" i="4"/>
  <c r="C20" i="4"/>
  <c r="C23" i="4" s="1"/>
  <c r="C24" i="4" s="1"/>
  <c r="C27" i="4" s="1"/>
  <c r="C28" i="4" s="1"/>
  <c r="B20" i="4"/>
  <c r="B23" i="4" s="1"/>
  <c r="B24" i="4" s="1"/>
  <c r="B27" i="4" s="1"/>
  <c r="B28" i="4" s="1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K18" i="4"/>
  <c r="J18" i="4"/>
  <c r="I18" i="4"/>
  <c r="H18" i="4"/>
  <c r="G18" i="4"/>
  <c r="F18" i="4"/>
  <c r="E18" i="4"/>
  <c r="D18" i="4"/>
  <c r="C18" i="4"/>
  <c r="B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P16" i="4"/>
  <c r="O16" i="4"/>
  <c r="N16" i="4"/>
  <c r="M16" i="4"/>
  <c r="L16" i="4"/>
  <c r="P5" i="4"/>
  <c r="O5" i="4"/>
  <c r="N5" i="4"/>
  <c r="M5" i="4"/>
  <c r="L5" i="4"/>
  <c r="P4" i="4"/>
  <c r="O4" i="4"/>
  <c r="N4" i="4"/>
  <c r="M4" i="4"/>
  <c r="L4" i="4"/>
  <c r="P3" i="4"/>
  <c r="O3" i="4"/>
  <c r="N3" i="4"/>
  <c r="M3" i="4"/>
  <c r="L3" i="4"/>
  <c r="F13" i="1"/>
  <c r="F14" i="1"/>
  <c r="F15" i="1"/>
  <c r="F16" i="1"/>
  <c r="F12" i="1"/>
  <c r="E12" i="1"/>
  <c r="D13" i="1"/>
  <c r="D14" i="1"/>
  <c r="D15" i="1"/>
  <c r="D16" i="1"/>
  <c r="D12" i="1"/>
  <c r="C13" i="1"/>
  <c r="E13" i="1" s="1"/>
  <c r="C14" i="1"/>
  <c r="E14" i="1" s="1"/>
  <c r="C15" i="1"/>
  <c r="E15" i="1" s="1"/>
  <c r="C16" i="1"/>
  <c r="E16" i="1" s="1"/>
  <c r="C12" i="1"/>
  <c r="S12" i="1"/>
  <c r="S13" i="1"/>
  <c r="S14" i="1"/>
  <c r="S15" i="1"/>
  <c r="S16" i="1"/>
  <c r="P13" i="1"/>
  <c r="P14" i="1"/>
  <c r="P15" i="1"/>
  <c r="P16" i="1"/>
  <c r="P12" i="1"/>
  <c r="Q16" i="1"/>
  <c r="Q15" i="1"/>
  <c r="Q14" i="1"/>
  <c r="Q13" i="1"/>
  <c r="Q12" i="1"/>
  <c r="L24" i="3"/>
  <c r="K24" i="3"/>
  <c r="J24" i="3"/>
  <c r="I24" i="3"/>
  <c r="H24" i="3"/>
  <c r="F24" i="3"/>
  <c r="E24" i="3"/>
  <c r="D24" i="3"/>
  <c r="C24" i="3"/>
  <c r="B24" i="3"/>
  <c r="L20" i="3"/>
  <c r="K20" i="3"/>
  <c r="J20" i="3"/>
  <c r="I20" i="3"/>
  <c r="H20" i="3"/>
  <c r="K17" i="3"/>
  <c r="K18" i="3" s="1"/>
  <c r="K21" i="3" s="1"/>
  <c r="K22" i="3" s="1"/>
  <c r="L16" i="3"/>
  <c r="K16" i="3"/>
  <c r="I16" i="3"/>
  <c r="H16" i="3"/>
  <c r="K14" i="3"/>
  <c r="K15" i="3" s="1"/>
  <c r="K19" i="3" s="1"/>
  <c r="K23" i="3" s="1"/>
  <c r="J14" i="3"/>
  <c r="J17" i="3" s="1"/>
  <c r="J18" i="3" s="1"/>
  <c r="J21" i="3" s="1"/>
  <c r="J22" i="3" s="1"/>
  <c r="L13" i="3"/>
  <c r="L14" i="3" s="1"/>
  <c r="K13" i="3"/>
  <c r="J13" i="3"/>
  <c r="J16" i="3" s="1"/>
  <c r="I13" i="3"/>
  <c r="I14" i="3" s="1"/>
  <c r="H13" i="3"/>
  <c r="H14" i="3" s="1"/>
  <c r="L12" i="3"/>
  <c r="K12" i="3"/>
  <c r="J12" i="3"/>
  <c r="I12" i="3"/>
  <c r="H12" i="3"/>
  <c r="L11" i="3"/>
  <c r="K11" i="3"/>
  <c r="J11" i="3"/>
  <c r="I11" i="3"/>
  <c r="H11" i="3"/>
  <c r="S2" i="1"/>
  <c r="V2" i="1" s="1"/>
  <c r="F20" i="3"/>
  <c r="E20" i="3"/>
  <c r="D20" i="3"/>
  <c r="C20" i="3"/>
  <c r="B20" i="3"/>
  <c r="F16" i="3"/>
  <c r="E16" i="3"/>
  <c r="C16" i="3"/>
  <c r="B16" i="3"/>
  <c r="F13" i="3"/>
  <c r="F14" i="3" s="1"/>
  <c r="E13" i="3"/>
  <c r="E14" i="3" s="1"/>
  <c r="D13" i="3"/>
  <c r="D16" i="3" s="1"/>
  <c r="C13" i="3"/>
  <c r="C14" i="3" s="1"/>
  <c r="B13" i="3"/>
  <c r="B14" i="3" s="1"/>
  <c r="F12" i="3"/>
  <c r="E12" i="3"/>
  <c r="D12" i="3"/>
  <c r="C12" i="3"/>
  <c r="B12" i="3"/>
  <c r="F11" i="3"/>
  <c r="E11" i="3"/>
  <c r="D11" i="3"/>
  <c r="C11" i="3"/>
  <c r="B11" i="3"/>
  <c r="Z3" i="1"/>
  <c r="AD3" i="1" s="1"/>
  <c r="Z4" i="1"/>
  <c r="AD4" i="1" s="1"/>
  <c r="Z5" i="1"/>
  <c r="AD5" i="1" s="1"/>
  <c r="Z6" i="1"/>
  <c r="AD6" i="1" s="1"/>
  <c r="Z7" i="1"/>
  <c r="AD7" i="1" s="1"/>
  <c r="Z8" i="1"/>
  <c r="AD8" i="1" s="1"/>
  <c r="Z9" i="1"/>
  <c r="AD9" i="1" s="1"/>
  <c r="Z10" i="1"/>
  <c r="AD10" i="1" s="1"/>
  <c r="Z11" i="1"/>
  <c r="AD11" i="1" s="1"/>
  <c r="Z2" i="1"/>
  <c r="AD2" i="1" s="1"/>
  <c r="R3" i="1"/>
  <c r="R4" i="1"/>
  <c r="R5" i="1"/>
  <c r="R6" i="1"/>
  <c r="R7" i="1"/>
  <c r="R8" i="1"/>
  <c r="R9" i="1"/>
  <c r="R10" i="1"/>
  <c r="R11" i="1"/>
  <c r="R2" i="1"/>
  <c r="S3" i="1"/>
  <c r="V3" i="1" s="1"/>
  <c r="S4" i="1"/>
  <c r="V4" i="1" s="1"/>
  <c r="S5" i="1"/>
  <c r="V5" i="1" s="1"/>
  <c r="S6" i="1"/>
  <c r="V6" i="1" s="1"/>
  <c r="S7" i="1"/>
  <c r="V7" i="1" s="1"/>
  <c r="S8" i="1"/>
  <c r="V8" i="1" s="1"/>
  <c r="S9" i="1"/>
  <c r="V9" i="1" s="1"/>
  <c r="S10" i="1"/>
  <c r="V10" i="1" s="1"/>
  <c r="S11" i="1"/>
  <c r="V11" i="1" s="1"/>
  <c r="Q3" i="1"/>
  <c r="Q4" i="1"/>
  <c r="Q5" i="1"/>
  <c r="Q6" i="1"/>
  <c r="Q7" i="1"/>
  <c r="Q8" i="1"/>
  <c r="Q9" i="1"/>
  <c r="Q10" i="1"/>
  <c r="Q11" i="1"/>
  <c r="Q2" i="1"/>
  <c r="H21" i="4" l="1"/>
  <c r="H25" i="4" s="1"/>
  <c r="H29" i="4" s="1"/>
  <c r="B21" i="4"/>
  <c r="B25" i="4" s="1"/>
  <c r="B29" i="4" s="1"/>
  <c r="J21" i="4"/>
  <c r="J25" i="4" s="1"/>
  <c r="J29" i="4" s="1"/>
  <c r="E21" i="4"/>
  <c r="E25" i="4" s="1"/>
  <c r="E29" i="4" s="1"/>
  <c r="T16" i="1"/>
  <c r="V16" i="1" s="1"/>
  <c r="W16" i="1" s="1"/>
  <c r="T15" i="1"/>
  <c r="V15" i="1" s="1"/>
  <c r="W15" i="1" s="1"/>
  <c r="T14" i="1"/>
  <c r="V14" i="1" s="1"/>
  <c r="W14" i="1" s="1"/>
  <c r="T13" i="1"/>
  <c r="V13" i="1" s="1"/>
  <c r="W13" i="1" s="1"/>
  <c r="T12" i="1"/>
  <c r="V12" i="1" s="1"/>
  <c r="W12" i="1" s="1"/>
  <c r="I15" i="3"/>
  <c r="I19" i="3" s="1"/>
  <c r="I23" i="3" s="1"/>
  <c r="I17" i="3"/>
  <c r="I18" i="3" s="1"/>
  <c r="I21" i="3" s="1"/>
  <c r="I22" i="3" s="1"/>
  <c r="L15" i="3"/>
  <c r="L19" i="3" s="1"/>
  <c r="L23" i="3" s="1"/>
  <c r="L17" i="3"/>
  <c r="L18" i="3" s="1"/>
  <c r="L21" i="3" s="1"/>
  <c r="L22" i="3" s="1"/>
  <c r="H17" i="3"/>
  <c r="H18" i="3" s="1"/>
  <c r="H21" i="3" s="1"/>
  <c r="H22" i="3" s="1"/>
  <c r="H15" i="3"/>
  <c r="H19" i="3" s="1"/>
  <c r="H23" i="3" s="1"/>
  <c r="J15" i="3"/>
  <c r="J19" i="3" s="1"/>
  <c r="J23" i="3" s="1"/>
  <c r="B17" i="3"/>
  <c r="B18" i="3" s="1"/>
  <c r="B21" i="3" s="1"/>
  <c r="B22" i="3" s="1"/>
  <c r="B15" i="3"/>
  <c r="B19" i="3" s="1"/>
  <c r="B23" i="3" s="1"/>
  <c r="F15" i="3"/>
  <c r="F19" i="3" s="1"/>
  <c r="F23" i="3" s="1"/>
  <c r="F17" i="3"/>
  <c r="F18" i="3" s="1"/>
  <c r="F21" i="3" s="1"/>
  <c r="F22" i="3" s="1"/>
  <c r="C17" i="3"/>
  <c r="C18" i="3" s="1"/>
  <c r="C21" i="3" s="1"/>
  <c r="C22" i="3" s="1"/>
  <c r="C15" i="3"/>
  <c r="C19" i="3" s="1"/>
  <c r="C23" i="3" s="1"/>
  <c r="E15" i="3"/>
  <c r="E19" i="3" s="1"/>
  <c r="E23" i="3" s="1"/>
  <c r="E17" i="3"/>
  <c r="E18" i="3" s="1"/>
  <c r="E21" i="3" s="1"/>
  <c r="E22" i="3" s="1"/>
  <c r="D14" i="3"/>
  <c r="T10" i="1"/>
  <c r="T2" i="1"/>
  <c r="T9" i="1"/>
  <c r="T6" i="1"/>
  <c r="T5" i="1"/>
  <c r="T4" i="1"/>
  <c r="T8" i="1"/>
  <c r="T7" i="1"/>
  <c r="T11" i="1"/>
  <c r="T3" i="1"/>
  <c r="U8" i="1" l="1"/>
  <c r="Y8" i="1" s="1"/>
  <c r="AC8" i="1" s="1"/>
  <c r="W8" i="1"/>
  <c r="X8" i="1" s="1"/>
  <c r="AA8" i="1" s="1"/>
  <c r="AB8" i="1" s="1"/>
  <c r="W5" i="1"/>
  <c r="X5" i="1" s="1"/>
  <c r="AA5" i="1" s="1"/>
  <c r="AB5" i="1" s="1"/>
  <c r="U5" i="1"/>
  <c r="Y5" i="1" s="1"/>
  <c r="AC5" i="1" s="1"/>
  <c r="U9" i="1"/>
  <c r="Y9" i="1" s="1"/>
  <c r="AC9" i="1" s="1"/>
  <c r="W9" i="1"/>
  <c r="X9" i="1" s="1"/>
  <c r="AA9" i="1" s="1"/>
  <c r="AB9" i="1" s="1"/>
  <c r="U7" i="1"/>
  <c r="Y7" i="1" s="1"/>
  <c r="AC7" i="1" s="1"/>
  <c r="W7" i="1"/>
  <c r="X7" i="1" s="1"/>
  <c r="AA7" i="1" s="1"/>
  <c r="AB7" i="1" s="1"/>
  <c r="W4" i="1"/>
  <c r="X4" i="1" s="1"/>
  <c r="AA4" i="1" s="1"/>
  <c r="AB4" i="1" s="1"/>
  <c r="U4" i="1"/>
  <c r="Y4" i="1" s="1"/>
  <c r="AC4" i="1" s="1"/>
  <c r="W2" i="1"/>
  <c r="X2" i="1" s="1"/>
  <c r="AA2" i="1" s="1"/>
  <c r="AB2" i="1" s="1"/>
  <c r="U2" i="1"/>
  <c r="Y2" i="1" s="1"/>
  <c r="AC2" i="1" s="1"/>
  <c r="U6" i="1"/>
  <c r="Y6" i="1" s="1"/>
  <c r="AC6" i="1" s="1"/>
  <c r="W6" i="1"/>
  <c r="X6" i="1" s="1"/>
  <c r="AA6" i="1" s="1"/>
  <c r="AB6" i="1" s="1"/>
  <c r="W3" i="1"/>
  <c r="X3" i="1" s="1"/>
  <c r="AA3" i="1" s="1"/>
  <c r="AB3" i="1" s="1"/>
  <c r="U3" i="1"/>
  <c r="Y3" i="1" s="1"/>
  <c r="AC3" i="1" s="1"/>
  <c r="W11" i="1"/>
  <c r="X11" i="1" s="1"/>
  <c r="AA11" i="1" s="1"/>
  <c r="AB11" i="1" s="1"/>
  <c r="U11" i="1"/>
  <c r="Y11" i="1" s="1"/>
  <c r="AC11" i="1" s="1"/>
  <c r="W10" i="1"/>
  <c r="X10" i="1" s="1"/>
  <c r="AA10" i="1" s="1"/>
  <c r="AB10" i="1" s="1"/>
  <c r="U10" i="1"/>
  <c r="Y10" i="1" s="1"/>
  <c r="AC10" i="1" s="1"/>
  <c r="D17" i="3"/>
  <c r="D18" i="3" s="1"/>
  <c r="D21" i="3" s="1"/>
  <c r="D22" i="3" s="1"/>
  <c r="D15" i="3"/>
  <c r="D19" i="3" s="1"/>
  <c r="D23" i="3" s="1"/>
</calcChain>
</file>

<file path=xl/sharedStrings.xml><?xml version="1.0" encoding="utf-8"?>
<sst xmlns="http://schemas.openxmlformats.org/spreadsheetml/2006/main" count="85" uniqueCount="32">
  <si>
    <t>加热电压
U（V）</t>
    <phoneticPr fontId="1" type="noConversion"/>
  </si>
  <si>
    <r>
      <t xml:space="preserve">孔板压差
</t>
    </r>
    <r>
      <rPr>
        <sz val="11"/>
        <color theme="1"/>
        <rFont val="等线"/>
        <family val="3"/>
        <charset val="134"/>
      </rPr>
      <t>Δp（kPa）</t>
    </r>
    <phoneticPr fontId="1" type="noConversion"/>
  </si>
  <si>
    <t>套管换热器空气
进口温度（℃）</t>
    <phoneticPr fontId="1" type="noConversion"/>
  </si>
  <si>
    <t>套管换热器空气
出口温度（℃）</t>
    <phoneticPr fontId="1" type="noConversion"/>
  </si>
  <si>
    <t>套管换热器蒸汽
进口温度（℃）</t>
    <phoneticPr fontId="1" type="noConversion"/>
  </si>
  <si>
    <t>套管换热器蒸汽
出口温度（℃）</t>
    <phoneticPr fontId="1" type="noConversion"/>
  </si>
  <si>
    <t>W1</t>
    <phoneticPr fontId="1" type="noConversion"/>
  </si>
  <si>
    <t>温度差Δt（℃）</t>
    <phoneticPr fontId="1" type="noConversion"/>
  </si>
  <si>
    <r>
      <t>孔板流量计体积流量v</t>
    </r>
    <r>
      <rPr>
        <vertAlign val="subscript"/>
        <sz val="11"/>
        <color theme="1"/>
        <rFont val="等线"/>
        <family val="3"/>
        <charset val="134"/>
        <scheme val="minor"/>
      </rPr>
      <t>t1</t>
    </r>
    <r>
      <rPr>
        <sz val="11"/>
        <color theme="1"/>
        <rFont val="等线"/>
        <family val="2"/>
        <scheme val="minor"/>
      </rPr>
      <t>（m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/h）</t>
    </r>
    <phoneticPr fontId="1" type="noConversion"/>
  </si>
  <si>
    <r>
      <t>传热管内平均体积流量V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（m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/h）</t>
    </r>
    <phoneticPr fontId="1" type="noConversion"/>
  </si>
  <si>
    <t>套管换热器空气
进口温度t1（℃）</t>
    <phoneticPr fontId="1" type="noConversion"/>
  </si>
  <si>
    <t>套管换热器空气
出口温度t2（℃）</t>
    <phoneticPr fontId="1" type="noConversion"/>
  </si>
  <si>
    <r>
      <t>平均流速u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（m/s）</t>
    </r>
    <phoneticPr fontId="1" type="noConversion"/>
  </si>
  <si>
    <r>
      <t>平均温度差</t>
    </r>
    <r>
      <rPr>
        <sz val="11"/>
        <color theme="1"/>
        <rFont val="等线"/>
        <family val="3"/>
        <charset val="134"/>
      </rPr>
      <t>Δt</t>
    </r>
    <r>
      <rPr>
        <vertAlign val="subscript"/>
        <sz val="11"/>
        <color theme="1"/>
        <rFont val="等线"/>
        <family val="3"/>
        <charset val="134"/>
      </rPr>
      <t>m</t>
    </r>
    <r>
      <rPr>
        <sz val="11"/>
        <color theme="1"/>
        <rFont val="等线"/>
        <family val="2"/>
        <scheme val="minor"/>
      </rPr>
      <t>（℃）</t>
    </r>
    <phoneticPr fontId="1" type="noConversion"/>
  </si>
  <si>
    <r>
      <t>套管换热器内
管壁面温度t</t>
    </r>
    <r>
      <rPr>
        <vertAlign val="subscript"/>
        <sz val="11"/>
        <color theme="1"/>
        <rFont val="等线"/>
        <family val="3"/>
        <charset val="134"/>
        <scheme val="minor"/>
      </rPr>
      <t>w</t>
    </r>
    <r>
      <rPr>
        <sz val="11"/>
        <color theme="1"/>
        <rFont val="等线"/>
        <family val="2"/>
        <scheme val="minor"/>
      </rPr>
      <t>（℃）</t>
    </r>
    <phoneticPr fontId="1" type="noConversion"/>
  </si>
  <si>
    <r>
      <t>定性t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3"/>
        <charset val="134"/>
        <scheme val="minor"/>
      </rPr>
      <t>（℃）</t>
    </r>
    <phoneticPr fontId="1" type="noConversion"/>
  </si>
  <si>
    <r>
      <t>平均黏度μ</t>
    </r>
    <r>
      <rPr>
        <vertAlign val="subscript"/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（Pa</t>
    </r>
    <r>
      <rPr>
        <sz val="11"/>
        <color theme="1"/>
        <rFont val="仿宋"/>
        <family val="3"/>
        <charset val="134"/>
      </rPr>
      <t>˙</t>
    </r>
    <r>
      <rPr>
        <sz val="11"/>
        <color theme="1"/>
        <rFont val="等线"/>
        <family val="2"/>
        <scheme val="minor"/>
      </rPr>
      <t>s）</t>
    </r>
    <phoneticPr fontId="1" type="noConversion"/>
  </si>
  <si>
    <r>
      <rPr>
        <sz val="11"/>
        <color theme="1"/>
        <rFont val="宋体"/>
        <family val="3"/>
        <charset val="134"/>
      </rPr>
      <t>平均密度</t>
    </r>
    <r>
      <rPr>
        <sz val="11"/>
        <color theme="1"/>
        <rFont val="Calibri"/>
        <family val="3"/>
        <charset val="161"/>
      </rPr>
      <t>ρ</t>
    </r>
    <r>
      <rPr>
        <vertAlign val="subscript"/>
        <sz val="11"/>
        <color theme="1"/>
        <rFont val="Calibri"/>
        <family val="2"/>
      </rPr>
      <t>m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Calibri"/>
        <family val="3"/>
      </rPr>
      <t>kg/m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</si>
  <si>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平均比热C</t>
    </r>
    <r>
      <rPr>
        <vertAlign val="subscript"/>
        <sz val="11"/>
        <color theme="1"/>
        <rFont val="宋体"/>
        <family val="3"/>
        <charset val="134"/>
      </rPr>
      <t>pm</t>
    </r>
    <r>
      <rPr>
        <sz val="11"/>
        <color theme="1"/>
        <rFont val="宋体"/>
        <family val="3"/>
        <charset val="134"/>
      </rPr>
      <t>（J/kg</t>
    </r>
    <r>
      <rPr>
        <sz val="11"/>
        <color theme="1"/>
        <rFont val="仿宋"/>
        <family val="3"/>
        <charset val="134"/>
      </rPr>
      <t>˙</t>
    </r>
    <r>
      <rPr>
        <sz val="11"/>
        <color theme="1"/>
        <rFont val="宋体"/>
        <family val="3"/>
        <charset val="134"/>
      </rPr>
      <t>k）</t>
    </r>
    <phoneticPr fontId="1" type="noConversion"/>
  </si>
  <si>
    <r>
      <t>平均导热系数</t>
    </r>
    <r>
      <rPr>
        <sz val="11"/>
        <color theme="1"/>
        <rFont val="Calibri"/>
        <family val="3"/>
        <charset val="161"/>
      </rPr>
      <t>λ</t>
    </r>
    <r>
      <rPr>
        <vertAlign val="subscript"/>
        <sz val="11"/>
        <color theme="1"/>
        <rFont val="宋体"/>
        <family val="3"/>
        <charset val="134"/>
      </rPr>
      <t>m</t>
    </r>
    <r>
      <rPr>
        <sz val="11"/>
        <color theme="1"/>
        <rFont val="宋体"/>
        <family val="3"/>
        <charset val="134"/>
      </rPr>
      <t>（W/m</t>
    </r>
    <r>
      <rPr>
        <sz val="11"/>
        <color theme="1"/>
        <rFont val="仿宋"/>
        <family val="3"/>
        <charset val="134"/>
      </rPr>
      <t>˙</t>
    </r>
    <r>
      <rPr>
        <sz val="11"/>
        <color theme="1"/>
        <rFont val="宋体"/>
        <family val="3"/>
        <charset val="134"/>
      </rPr>
      <t>K）</t>
    </r>
    <phoneticPr fontId="1" type="noConversion"/>
  </si>
  <si>
    <t>传热速率Q（W/m²）</t>
    <phoneticPr fontId="1" type="noConversion"/>
  </si>
  <si>
    <t>管内传热系数α（W）</t>
    <phoneticPr fontId="1" type="noConversion"/>
  </si>
  <si>
    <t>雷诺准数Re</t>
    <phoneticPr fontId="1" type="noConversion"/>
  </si>
  <si>
    <t>普朗特数Pr</t>
    <phoneticPr fontId="1" type="noConversion"/>
  </si>
  <si>
    <r>
      <t>传热准数Nu（W/m²</t>
    </r>
    <r>
      <rPr>
        <sz val="11"/>
        <color theme="1"/>
        <rFont val="仿宋"/>
        <family val="3"/>
        <charset val="134"/>
      </rPr>
      <t>˙</t>
    </r>
    <r>
      <rPr>
        <sz val="11"/>
        <color theme="1"/>
        <rFont val="等线"/>
        <family val="3"/>
        <charset val="134"/>
      </rPr>
      <t>K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</si>
  <si>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ln(Nu)</t>
    <phoneticPr fontId="1" type="noConversion"/>
  </si>
  <si>
    <t>ln(Re)</t>
    <phoneticPr fontId="1" type="noConversion"/>
  </si>
  <si>
    <t>套管换热器蒸汽
进口温度T1（℃）</t>
    <phoneticPr fontId="1" type="noConversion"/>
  </si>
  <si>
    <t>套管换热器蒸汽出口温度T2（℃）</t>
    <phoneticPr fontId="1" type="noConversion"/>
  </si>
  <si>
    <r>
      <rPr>
        <sz val="10.5"/>
        <color rgb="FF000000"/>
        <rFont val="Calibri"/>
        <family val="3"/>
        <charset val="161"/>
      </rPr>
      <t>Δ</t>
    </r>
    <r>
      <rPr>
        <sz val="10.5"/>
        <color rgb="FF000000"/>
        <rFont val="宋体"/>
        <family val="1"/>
        <charset val="134"/>
      </rPr>
      <t>t</t>
    </r>
    <r>
      <rPr>
        <vertAlign val="subscript"/>
        <sz val="10.5"/>
        <color rgb="FF000000"/>
        <rFont val="宋体"/>
        <family val="1"/>
        <charset val="134"/>
      </rPr>
      <t>1</t>
    </r>
    <r>
      <rPr>
        <sz val="10.5"/>
        <color rgb="FF000000"/>
        <rFont val="宋体"/>
        <family val="1"/>
        <charset val="134"/>
      </rPr>
      <t xml:space="preserve"> </t>
    </r>
    <phoneticPr fontId="1" type="noConversion"/>
  </si>
  <si>
    <t>Δt2</t>
    <phoneticPr fontId="1" type="noConversion"/>
  </si>
  <si>
    <t>K0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</si>
</sst>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0.0_);[Red]\(0.0\)"/>
    <numFmt numFmtId="178" formatCode="0.0"/>
    <numFmt numFmtId="179" formatCode="0.000_);[Red]\(0.000\)"/>
    <numFmt numFmtId="180" formatCode="0.0000_);[Red]\(0.0000\)"/>
    <numFmt numFmtId="183" formatCode="0.000"/>
    <numFmt numFmtId="185" formatCode="0.00000"/>
    <numFmt numFmtId="192" formatCode="0.000E+00"/>
    <numFmt numFmtId="193" formatCode="0_);[Red]\(0\)"/>
  </numFmts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color theme="1"/>
      <name val="等线"/>
      <family val="3"/>
      <charset val="134"/>
    </font>
    <font>
      <vertAlign val="subscript"/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11"/>
      <color theme="1"/>
      <name val="宋体"/>
      <family val="3"/>
      <charset val="134"/>
    </font>
    <font>
      <sz val="11"/>
      <color theme="1"/>
      <name val="Calibri"/>
      <family val="3"/>
    </font>
    <font>
      <vertAlign val="superscript"/>
      <sz val="11"/>
      <color theme="1"/>
      <name val="Calibri"/>
      <family val="2"/>
    </font>
    <font>
      <sz val="11"/>
      <color rgb="FF333333"/>
      <name val="等线"/>
      <family val="3"/>
      <charset val="134"/>
      <scheme val="minor"/>
    </font>
    <font>
      <sz val="11"/>
      <color theme="1"/>
      <name val="Calibri"/>
      <family val="3"/>
      <charset val="134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宋体"/>
      <family val="3"/>
      <charset val="134"/>
    </font>
    <font>
      <vertAlign val="subscript"/>
      <sz val="11"/>
      <color theme="1"/>
      <name val="Calibri"/>
      <family val="2"/>
    </font>
    <font>
      <sz val="10.5"/>
      <color rgb="FF000000"/>
      <name val="Calibri"/>
      <family val="3"/>
      <charset val="161"/>
    </font>
    <font>
      <sz val="10.5"/>
      <color rgb="FF000000"/>
      <name val="宋体"/>
      <family val="1"/>
      <charset val="134"/>
    </font>
    <font>
      <vertAlign val="subscript"/>
      <sz val="10.5"/>
      <color rgb="FF000000"/>
      <name val="宋体"/>
      <family val="1"/>
      <charset val="134"/>
    </font>
    <font>
      <sz val="10.5"/>
      <color rgb="FF000000"/>
      <name val="宋体"/>
      <family val="3"/>
      <charset val="16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77" fontId="0" fillId="0" borderId="0" xfId="0" applyNumberFormat="1" applyAlignment="1">
      <alignment wrapText="1"/>
    </xf>
    <xf numFmtId="177" fontId="0" fillId="0" borderId="0" xfId="0" applyNumberFormat="1"/>
    <xf numFmtId="2" fontId="0" fillId="0" borderId="0" xfId="0" applyNumberFormat="1"/>
    <xf numFmtId="178" fontId="0" fillId="0" borderId="0" xfId="0" applyNumberFormat="1"/>
    <xf numFmtId="177" fontId="0" fillId="2" borderId="0" xfId="0" applyNumberFormat="1" applyFill="1"/>
    <xf numFmtId="176" fontId="0" fillId="2" borderId="0" xfId="0" applyNumberFormat="1" applyFill="1"/>
    <xf numFmtId="177" fontId="0" fillId="0" borderId="0" xfId="0" applyNumberFormat="1" applyFont="1" applyAlignment="1">
      <alignment wrapText="1"/>
    </xf>
    <xf numFmtId="0" fontId="0" fillId="2" borderId="0" xfId="0" applyFill="1"/>
    <xf numFmtId="177" fontId="5" fillId="0" borderId="0" xfId="0" applyNumberFormat="1" applyFont="1" applyAlignment="1">
      <alignment wrapText="1"/>
    </xf>
    <xf numFmtId="179" fontId="0" fillId="0" borderId="0" xfId="0" applyNumberFormat="1"/>
    <xf numFmtId="180" fontId="0" fillId="0" borderId="0" xfId="0" applyNumberFormat="1"/>
    <xf numFmtId="180" fontId="0" fillId="2" borderId="0" xfId="0" applyNumberFormat="1" applyFill="1"/>
    <xf numFmtId="183" fontId="0" fillId="0" borderId="0" xfId="0" applyNumberFormat="1"/>
    <xf numFmtId="185" fontId="0" fillId="0" borderId="0" xfId="0" applyNumberFormat="1"/>
    <xf numFmtId="2" fontId="0" fillId="2" borderId="0" xfId="0" applyNumberFormat="1" applyFill="1"/>
    <xf numFmtId="183" fontId="0" fillId="2" borderId="0" xfId="0" applyNumberFormat="1" applyFill="1"/>
    <xf numFmtId="185" fontId="0" fillId="2" borderId="0" xfId="0" applyNumberFormat="1" applyFill="1"/>
    <xf numFmtId="192" fontId="0" fillId="0" borderId="0" xfId="0" applyNumberFormat="1"/>
    <xf numFmtId="192" fontId="0" fillId="2" borderId="0" xfId="0" applyNumberFormat="1" applyFill="1"/>
    <xf numFmtId="11" fontId="11" fillId="0" borderId="0" xfId="0" applyNumberFormat="1" applyFont="1"/>
    <xf numFmtId="177" fontId="8" fillId="0" borderId="0" xfId="0" applyNumberFormat="1" applyFont="1" applyAlignment="1">
      <alignment wrapText="1"/>
    </xf>
    <xf numFmtId="193" fontId="0" fillId="0" borderId="0" xfId="0" applyNumberFormat="1"/>
    <xf numFmtId="177" fontId="12" fillId="0" borderId="0" xfId="0" applyNumberFormat="1" applyFont="1" applyAlignment="1">
      <alignment wrapText="1"/>
    </xf>
    <xf numFmtId="11" fontId="11" fillId="2" borderId="0" xfId="0" applyNumberFormat="1" applyFont="1" applyFill="1"/>
    <xf numFmtId="193" fontId="0" fillId="2" borderId="0" xfId="0" applyNumberFormat="1" applyFill="1"/>
    <xf numFmtId="179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 b="0" i="0" baseline="0">
                <a:effectLst/>
              </a:rPr>
              <a:t>ln(Nu)-ln(Re)</a:t>
            </a:r>
            <a:r>
              <a:rPr lang="zh-CN" altLang="en-US" sz="1000" b="0" i="0" baseline="0">
                <a:effectLst/>
              </a:rPr>
              <a:t>关系图</a:t>
            </a:r>
            <a:endParaRPr lang="zh-CN" altLang="zh-CN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810126859142607"/>
                  <c:y val="-4.467774861475648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Sheet1!$AC$2:$AC$6</c:f>
              <c:numCache>
                <c:formatCode>0.000</c:formatCode>
                <c:ptCount val="5"/>
                <c:pt idx="0">
                  <c:v>9.591599427286976</c:v>
                </c:pt>
                <c:pt idx="1">
                  <c:v>9.8460516697190723</c:v>
                </c:pt>
                <c:pt idx="2">
                  <c:v>9.9840809181414976</c:v>
                </c:pt>
                <c:pt idx="3">
                  <c:v>10.113561029344856</c:v>
                </c:pt>
                <c:pt idx="4">
                  <c:v>10.202111545396058</c:v>
                </c:pt>
              </c:numCache>
            </c:numRef>
          </c:xVal>
          <c:yVal>
            <c:numRef>
              <c:f>Sheet1!$AB$2:$AB$6</c:f>
              <c:numCache>
                <c:formatCode>0.000</c:formatCode>
                <c:ptCount val="5"/>
                <c:pt idx="0">
                  <c:v>3.5335517032004042</c:v>
                </c:pt>
                <c:pt idx="1">
                  <c:v>3.7263372909454295</c:v>
                </c:pt>
                <c:pt idx="2">
                  <c:v>3.8554867074852308</c:v>
                </c:pt>
                <c:pt idx="3">
                  <c:v>3.9627035315308534</c:v>
                </c:pt>
                <c:pt idx="4">
                  <c:v>4.019666398249548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8-4A8B-B80A-3F6C29D2C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731727"/>
        <c:axId val="1304734127"/>
      </c:scatterChart>
      <c:valAx>
        <c:axId val="130473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ln(Re)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734127"/>
        <c:crosses val="autoZero"/>
        <c:crossBetween val="midCat"/>
      </c:valAx>
      <c:valAx>
        <c:axId val="130473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ln(Nu)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73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 b="0" i="0" baseline="0">
                <a:effectLst/>
              </a:rPr>
              <a:t>ln(Nu)-ln(Re)</a:t>
            </a:r>
            <a:r>
              <a:rPr lang="zh-CN" altLang="en-US" sz="1000" b="0" i="0" baseline="0">
                <a:effectLst/>
              </a:rPr>
              <a:t>关系图</a:t>
            </a:r>
            <a:endParaRPr lang="zh-CN" altLang="zh-CN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810126859142607"/>
                  <c:y val="-4.467774861475648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Sheet1!$AC$7:$AC$11</c:f>
              <c:numCache>
                <c:formatCode>0.000</c:formatCode>
                <c:ptCount val="5"/>
                <c:pt idx="0">
                  <c:v>9.3522658536718755</c:v>
                </c:pt>
                <c:pt idx="1">
                  <c:v>9.6311147629787381</c:v>
                </c:pt>
                <c:pt idx="2">
                  <c:v>9.8040260421951118</c:v>
                </c:pt>
                <c:pt idx="3">
                  <c:v>9.9266508463907854</c:v>
                </c:pt>
                <c:pt idx="4">
                  <c:v>10.026512295417161</c:v>
                </c:pt>
              </c:numCache>
            </c:numRef>
          </c:xVal>
          <c:yVal>
            <c:numRef>
              <c:f>Sheet1!$AB$7:$AB$11</c:f>
              <c:numCache>
                <c:formatCode>0.000</c:formatCode>
                <c:ptCount val="5"/>
                <c:pt idx="0">
                  <c:v>3.7326112751683507</c:v>
                </c:pt>
                <c:pt idx="1">
                  <c:v>3.9840271453179517</c:v>
                </c:pt>
                <c:pt idx="2">
                  <c:v>4.1352307087376863</c:v>
                </c:pt>
                <c:pt idx="3">
                  <c:v>4.2403561015179863</c:v>
                </c:pt>
                <c:pt idx="4">
                  <c:v>4.3313805039236648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F-413D-879F-49AF7B6AC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731727"/>
        <c:axId val="1304734127"/>
      </c:scatterChart>
      <c:valAx>
        <c:axId val="130473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ln(Re)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734127"/>
        <c:crosses val="autoZero"/>
        <c:crossBetween val="midCat"/>
      </c:valAx>
      <c:valAx>
        <c:axId val="130473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ln(Nu)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73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324035</xdr:colOff>
      <xdr:row>26</xdr:row>
      <xdr:rowOff>108964</xdr:rowOff>
    </xdr:from>
    <xdr:to>
      <xdr:col>10</xdr:col>
      <xdr:colOff>189886</xdr:colOff>
      <xdr:row>41</xdr:row>
      <xdr:rowOff>173771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5BFA3A-723D-2EBD-6334-BE6213419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639535</xdr:colOff>
      <xdr:row>28</xdr:row>
      <xdr:rowOff>106589</xdr:rowOff>
    </xdr:from>
    <xdr:to>
      <xdr:col>19</xdr:col>
      <xdr:colOff>381453</xdr:colOff>
      <xdr:row>43</xdr:row>
      <xdr:rowOff>169261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9AD48BD-D88D-4DD5-B2D3-4AB46E9B1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"/>
  <sheetViews>
    <sheetView topLeftCell="Q1" zoomScale="70" zoomScaleNormal="70" workbookViewId="0">
      <selection activeCell="V23" sqref="V23:Z23"/>
    </sheetView>
  </sheetViews>
  <sheetFormatPr defaultRowHeight="14" x14ac:dyDescent="0.3"/>
  <cols>
    <col min="7" max="7" width="8.5" style="4" bestFit="1" customWidth="1"/>
    <col min="8" max="8" width="9.75" style="4" bestFit="1" customWidth="1"/>
    <col min="9" max="9" width="9.25" style="4" customWidth="1"/>
    <col min="10" max="10" width="7.58203125" style="4" customWidth="1"/>
    <col min="11" max="11" width="9.4140625" style="4" customWidth="1"/>
    <col min="12" max="12" width="10.6640625" bestFit="1" customWidth="1"/>
    <col min="13" max="14" width="10.5" customWidth="1"/>
    <col min="15" max="15" width="8.25" customWidth="1"/>
    <col min="16" max="16" width="6.58203125" customWidth="1"/>
    <col min="17" max="17" width="5.83203125" customWidth="1"/>
    <col min="18" max="18" width="4.9140625" customWidth="1"/>
    <col min="19" max="19" width="6.6640625" customWidth="1"/>
    <col min="20" max="20" width="6.1640625" customWidth="1"/>
    <col min="21" max="21" width="6.83203125" customWidth="1"/>
    <col min="23" max="23" width="6.4140625" customWidth="1"/>
    <col min="24" max="24" width="9.58203125" bestFit="1" customWidth="1"/>
    <col min="25" max="25" width="9.75" bestFit="1" customWidth="1"/>
    <col min="26" max="26" width="9.4140625" bestFit="1" customWidth="1"/>
    <col min="27" max="27" width="9.58203125" bestFit="1" customWidth="1"/>
    <col min="28" max="28" width="6.83203125" customWidth="1"/>
    <col min="30" max="30" width="7.33203125" customWidth="1"/>
  </cols>
  <sheetData>
    <row r="1" spans="1:30" ht="89.5" x14ac:dyDescent="0.4">
      <c r="A1" s="1" t="s">
        <v>27</v>
      </c>
      <c r="B1" s="1" t="s">
        <v>28</v>
      </c>
      <c r="C1" s="31" t="s">
        <v>29</v>
      </c>
      <c r="D1" s="1" t="s">
        <v>30</v>
      </c>
      <c r="E1" s="1"/>
      <c r="F1" s="1" t="s">
        <v>31</v>
      </c>
      <c r="G1" s="3" t="s">
        <v>0</v>
      </c>
      <c r="H1" s="3" t="s">
        <v>1</v>
      </c>
      <c r="I1" s="3" t="s">
        <v>14</v>
      </c>
      <c r="J1" s="3" t="s">
        <v>10</v>
      </c>
      <c r="K1" s="3" t="s">
        <v>11</v>
      </c>
      <c r="L1" s="3" t="s">
        <v>16</v>
      </c>
      <c r="M1" s="25" t="s">
        <v>17</v>
      </c>
      <c r="N1" s="23" t="s">
        <v>18</v>
      </c>
      <c r="O1" s="23" t="s">
        <v>19</v>
      </c>
      <c r="P1" s="11" t="s">
        <v>15</v>
      </c>
      <c r="Q1" s="9" t="s">
        <v>7</v>
      </c>
      <c r="R1" s="9" t="s">
        <v>13</v>
      </c>
      <c r="S1" s="9" t="s">
        <v>8</v>
      </c>
      <c r="T1" s="9" t="s">
        <v>9</v>
      </c>
      <c r="U1" s="9" t="s">
        <v>12</v>
      </c>
      <c r="V1" s="9" t="s">
        <v>6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9" t="s">
        <v>25</v>
      </c>
      <c r="AC1" s="9" t="s">
        <v>26</v>
      </c>
    </row>
    <row r="2" spans="1:30" x14ac:dyDescent="0.3">
      <c r="G2" s="4">
        <v>189</v>
      </c>
      <c r="H2" s="2">
        <v>0.83</v>
      </c>
      <c r="I2" s="4">
        <v>97.2</v>
      </c>
      <c r="J2" s="4">
        <v>35</v>
      </c>
      <c r="K2" s="4">
        <v>70.7</v>
      </c>
      <c r="L2" s="20">
        <v>1.9599999999999999E-5</v>
      </c>
      <c r="M2" s="13">
        <v>1.0926</v>
      </c>
      <c r="N2" s="24">
        <v>1005</v>
      </c>
      <c r="O2" s="13">
        <v>2.8400000000000002E-2</v>
      </c>
      <c r="P2" s="4">
        <v>52.85</v>
      </c>
      <c r="Q2" s="4">
        <f>K2-J2</f>
        <v>35.700000000000003</v>
      </c>
      <c r="R2" s="4">
        <f>I2-P2</f>
        <v>44.35</v>
      </c>
      <c r="S2" s="5">
        <f>0.65*3.1415926535*0.014^2/4*(2*H2*1000/M2)^0.5*3600</f>
        <v>14.040586714470273</v>
      </c>
      <c r="T2" s="5">
        <f>S2*(273+P2)/(273+J2)</f>
        <v>14.854302535422528</v>
      </c>
      <c r="U2" s="5">
        <f>T2/(3.142*10^(-4)*3600)</f>
        <v>13.13238430531025</v>
      </c>
      <c r="V2" s="16">
        <f>S2*M2/3600</f>
        <v>4.2613180678417279E-3</v>
      </c>
      <c r="W2" s="29">
        <f>T2*M2*N2*Q2/3600</f>
        <v>161.75035338245721</v>
      </c>
      <c r="X2" s="5">
        <f>W2/0.075/R2</f>
        <v>48.628441452824418</v>
      </c>
      <c r="Y2" s="20">
        <f>0.02*U2*M2/L2</f>
        <v>14641.2684612061</v>
      </c>
      <c r="Z2" s="12">
        <f>N2*L2/O2</f>
        <v>0.6935915492957746</v>
      </c>
      <c r="AA2" s="5">
        <f>X2*0.02/O2</f>
        <v>34.245381304805925</v>
      </c>
      <c r="AB2" s="15">
        <f>LN(AA2)</f>
        <v>3.5335517032004042</v>
      </c>
      <c r="AC2" s="15">
        <f>LN(Y2)</f>
        <v>9.591599427286976</v>
      </c>
      <c r="AD2" s="12">
        <f>Z2^0.4</f>
        <v>0.86385632460891537</v>
      </c>
    </row>
    <row r="3" spans="1:30" x14ac:dyDescent="0.3">
      <c r="G3" s="4">
        <v>189.5</v>
      </c>
      <c r="H3" s="2">
        <v>1.42</v>
      </c>
      <c r="I3" s="4">
        <v>96.8</v>
      </c>
      <c r="J3" s="4">
        <v>38.700000000000003</v>
      </c>
      <c r="K3" s="4">
        <v>70.599999999999994</v>
      </c>
      <c r="L3" s="20">
        <v>1.9599999999999999E-5</v>
      </c>
      <c r="M3" s="13">
        <v>1.0761000000000001</v>
      </c>
      <c r="N3" s="24">
        <v>1005</v>
      </c>
      <c r="O3" s="13">
        <v>2.8400000000000002E-2</v>
      </c>
      <c r="P3" s="4">
        <v>54.65</v>
      </c>
      <c r="Q3" s="4">
        <f>K3-J3</f>
        <v>31.899999999999991</v>
      </c>
      <c r="R3" s="4">
        <f t="shared" ref="R3:R11" si="0">I3-P3</f>
        <v>42.15</v>
      </c>
      <c r="S3" s="5">
        <f>0.65*3.1415926535*0.014^2/4*(2*H3*1000/M3)^0.5*3600</f>
        <v>18.50523754921635</v>
      </c>
      <c r="T3" s="5">
        <f>S3*(273+P3)/(273+J3)</f>
        <v>19.45216901828918</v>
      </c>
      <c r="U3" s="5">
        <f t="shared" ref="U3:U11" si="1">T3/(3.142*10^(-4)*3600)</f>
        <v>17.197263790127643</v>
      </c>
      <c r="V3" s="16">
        <f>S3*M3/3600</f>
        <v>5.5315239240865868E-3</v>
      </c>
      <c r="W3" s="29">
        <f t="shared" ref="W3:W16" si="2">T3*M3*N3*Q3/3600</f>
        <v>186.41244807885721</v>
      </c>
      <c r="X3" s="5">
        <f t="shared" ref="X3:X16" si="3">W3/0.075/R3</f>
        <v>58.967955106004652</v>
      </c>
      <c r="Y3" s="20">
        <f t="shared" ref="Y3:Y11" si="4">0.02*U3*M3/L3</f>
        <v>18883.648535261589</v>
      </c>
      <c r="Z3" s="12">
        <f t="shared" ref="Z3:Z11" si="5">N3*L3/O3</f>
        <v>0.6935915492957746</v>
      </c>
      <c r="AA3" s="5">
        <f t="shared" ref="AA3:AA11" si="6">X3*0.02/O3</f>
        <v>41.526728947890597</v>
      </c>
      <c r="AB3" s="15">
        <f t="shared" ref="AB3:AB11" si="7">LN(AA3)</f>
        <v>3.7263372909454295</v>
      </c>
      <c r="AC3" s="15">
        <f t="shared" ref="AC3:AC11" si="8">LN(Y3)</f>
        <v>9.8460516697190723</v>
      </c>
      <c r="AD3" s="12">
        <f t="shared" ref="AD3:AD11" si="9">Z3^0.4</f>
        <v>0.86385632460891537</v>
      </c>
    </row>
    <row r="4" spans="1:30" x14ac:dyDescent="0.3">
      <c r="G4" s="4">
        <v>189.5</v>
      </c>
      <c r="H4" s="2">
        <v>1.98</v>
      </c>
      <c r="I4" s="4">
        <v>96.6</v>
      </c>
      <c r="J4" s="4">
        <v>40.4</v>
      </c>
      <c r="K4" s="4">
        <v>70.5</v>
      </c>
      <c r="L4" s="22">
        <v>2.0100000000000001E-5</v>
      </c>
      <c r="M4" s="13">
        <v>1.0761000000000001</v>
      </c>
      <c r="N4" s="24">
        <v>1005</v>
      </c>
      <c r="O4" s="13">
        <v>2.8400000000000002E-2</v>
      </c>
      <c r="P4" s="4">
        <v>55.45</v>
      </c>
      <c r="Q4" s="4">
        <f>K4-J4</f>
        <v>30.1</v>
      </c>
      <c r="R4" s="4">
        <f t="shared" si="0"/>
        <v>41.149999999999991</v>
      </c>
      <c r="S4" s="5">
        <f>0.65*3.1415926535*0.014^2/4*(2*H4*1000/M4)^0.5*3600</f>
        <v>21.851592219210119</v>
      </c>
      <c r="T4" s="5">
        <f>S4*(273+P4)/(273+J4)</f>
        <v>22.900942770898418</v>
      </c>
      <c r="U4" s="5">
        <f t="shared" si="1"/>
        <v>20.246253952629623</v>
      </c>
      <c r="V4" s="16">
        <f>S4*M4/3600</f>
        <v>6.5318051075255587E-3</v>
      </c>
      <c r="W4" s="29">
        <f t="shared" si="2"/>
        <v>207.07899540392015</v>
      </c>
      <c r="X4" s="5">
        <f t="shared" si="3"/>
        <v>67.097284861537531</v>
      </c>
      <c r="Y4" s="20">
        <f t="shared" si="4"/>
        <v>21678.600874054464</v>
      </c>
      <c r="Z4" s="12">
        <f t="shared" si="5"/>
        <v>0.71128521126760558</v>
      </c>
      <c r="AA4" s="5">
        <f t="shared" si="6"/>
        <v>47.251609057420794</v>
      </c>
      <c r="AB4" s="15">
        <f t="shared" si="7"/>
        <v>3.8554867074852308</v>
      </c>
      <c r="AC4" s="15">
        <f t="shared" si="8"/>
        <v>9.9840809181414976</v>
      </c>
      <c r="AD4" s="12">
        <f t="shared" si="9"/>
        <v>0.87260462728458144</v>
      </c>
    </row>
    <row r="5" spans="1:30" x14ac:dyDescent="0.3">
      <c r="G5" s="4">
        <v>180</v>
      </c>
      <c r="H5" s="2">
        <v>2.58</v>
      </c>
      <c r="I5" s="4">
        <v>96.3</v>
      </c>
      <c r="J5" s="4">
        <v>42.4</v>
      </c>
      <c r="K5" s="4">
        <v>70.8</v>
      </c>
      <c r="L5" s="22">
        <v>2.0100000000000001E-5</v>
      </c>
      <c r="M5" s="13">
        <v>1.0761000000000001</v>
      </c>
      <c r="N5" s="24">
        <v>1005</v>
      </c>
      <c r="O5" s="13">
        <v>2.8400000000000002E-2</v>
      </c>
      <c r="P5" s="4">
        <v>56.599999999999994</v>
      </c>
      <c r="Q5" s="4">
        <f>K5-J5</f>
        <v>28.4</v>
      </c>
      <c r="R5" s="4">
        <f t="shared" si="0"/>
        <v>39.700000000000003</v>
      </c>
      <c r="S5" s="5">
        <f>0.65*3.1415926535*0.014^2/4*(2*H5*1000/M5)^0.5*3600</f>
        <v>24.943669597186926</v>
      </c>
      <c r="T5" s="5">
        <f>S5*(273+P5)/(273+J5)</f>
        <v>26.066688329844045</v>
      </c>
      <c r="U5" s="5">
        <f t="shared" si="1"/>
        <v>23.04502469220246</v>
      </c>
      <c r="V5" s="16">
        <f>S5*M5/3600</f>
        <v>7.4560785704257922E-3</v>
      </c>
      <c r="W5" s="29">
        <f t="shared" si="2"/>
        <v>222.39263045661966</v>
      </c>
      <c r="X5" s="5">
        <f t="shared" si="3"/>
        <v>74.69105976712666</v>
      </c>
      <c r="Y5" s="20">
        <f t="shared" si="4"/>
        <v>24675.374200277682</v>
      </c>
      <c r="Z5" s="12">
        <f t="shared" si="5"/>
        <v>0.71128521126760558</v>
      </c>
      <c r="AA5" s="5">
        <f t="shared" si="6"/>
        <v>52.599337864173705</v>
      </c>
      <c r="AB5" s="15">
        <f t="shared" si="7"/>
        <v>3.9627035315308534</v>
      </c>
      <c r="AC5" s="15">
        <f t="shared" si="8"/>
        <v>10.113561029344856</v>
      </c>
      <c r="AD5" s="12">
        <f t="shared" si="9"/>
        <v>0.87260462728458144</v>
      </c>
    </row>
    <row r="6" spans="1:30" x14ac:dyDescent="0.3">
      <c r="G6" s="4">
        <v>174</v>
      </c>
      <c r="H6" s="2">
        <v>3.15</v>
      </c>
      <c r="I6" s="4">
        <v>96.3</v>
      </c>
      <c r="J6" s="4">
        <v>45.4</v>
      </c>
      <c r="K6" s="4">
        <v>71.599999999999994</v>
      </c>
      <c r="L6" s="22">
        <v>2.0100000000000001E-5</v>
      </c>
      <c r="M6" s="13">
        <v>1.06</v>
      </c>
      <c r="N6" s="24">
        <v>1005</v>
      </c>
      <c r="O6" s="13">
        <v>2.8400000000000002E-2</v>
      </c>
      <c r="P6" s="4">
        <v>58.5</v>
      </c>
      <c r="Q6" s="4">
        <f>K6-J6</f>
        <v>26.199999999999996</v>
      </c>
      <c r="R6" s="4">
        <f t="shared" si="0"/>
        <v>37.799999999999997</v>
      </c>
      <c r="S6" s="5">
        <f>0.65*3.1415926535*0.014^2/4*(2*H6*1000/M6)^0.5*3600</f>
        <v>27.770209251293867</v>
      </c>
      <c r="T6" s="5">
        <f>S6*(273+P6)/(273+J6)</f>
        <v>28.912764971117834</v>
      </c>
      <c r="U6" s="5">
        <f t="shared" si="1"/>
        <v>25.561182696016193</v>
      </c>
      <c r="V6" s="16">
        <f>S6*M6/3600</f>
        <v>8.1767838351031949E-3</v>
      </c>
      <c r="W6" s="29">
        <f t="shared" si="2"/>
        <v>224.16114870049273</v>
      </c>
      <c r="X6" s="5">
        <f t="shared" si="3"/>
        <v>79.069188254142063</v>
      </c>
      <c r="Y6" s="20">
        <f t="shared" si="4"/>
        <v>26960.053390823054</v>
      </c>
      <c r="Z6" s="12">
        <f t="shared" si="5"/>
        <v>0.71128521126760558</v>
      </c>
      <c r="AA6" s="5">
        <f t="shared" si="6"/>
        <v>55.682526939536665</v>
      </c>
      <c r="AB6" s="15">
        <f t="shared" si="7"/>
        <v>4.019666398249548</v>
      </c>
      <c r="AC6" s="15">
        <f t="shared" si="8"/>
        <v>10.202111545396058</v>
      </c>
      <c r="AD6" s="12">
        <f t="shared" si="9"/>
        <v>0.87260462728458144</v>
      </c>
    </row>
    <row r="7" spans="1:30" s="10" customFormat="1" x14ac:dyDescent="0.3">
      <c r="G7" s="7">
        <v>173.1</v>
      </c>
      <c r="H7" s="8">
        <v>0.54</v>
      </c>
      <c r="I7" s="7">
        <v>97.1</v>
      </c>
      <c r="J7" s="7">
        <v>35.9</v>
      </c>
      <c r="K7" s="7">
        <v>82.2</v>
      </c>
      <c r="L7" s="26">
        <v>2.0100000000000001E-5</v>
      </c>
      <c r="M7" s="14">
        <v>1.06</v>
      </c>
      <c r="N7" s="27">
        <v>1005</v>
      </c>
      <c r="O7" s="14">
        <v>2.8400000000000002E-2</v>
      </c>
      <c r="P7" s="7">
        <v>59.05</v>
      </c>
      <c r="Q7" s="7">
        <f>K7-J7</f>
        <v>46.300000000000004</v>
      </c>
      <c r="R7" s="7">
        <f t="shared" si="0"/>
        <v>38.049999999999997</v>
      </c>
      <c r="S7" s="17">
        <f>0.65*3.1415926535*0.014^2/4*(2*H7*1000/M7)^0.5*3600</f>
        <v>11.497958988028993</v>
      </c>
      <c r="T7" s="17">
        <f>S7*(273+P7)/(273+J7)</f>
        <v>12.359654522418346</v>
      </c>
      <c r="U7" s="17">
        <f t="shared" si="1"/>
        <v>10.926917146207606</v>
      </c>
      <c r="V7" s="19">
        <f>S7*M7/3600</f>
        <v>3.3855101464752035E-3</v>
      </c>
      <c r="W7" s="30">
        <f t="shared" si="2"/>
        <v>169.33890563180663</v>
      </c>
      <c r="X7" s="17">
        <f t="shared" si="3"/>
        <v>59.339082131163082</v>
      </c>
      <c r="Y7" s="21">
        <f t="shared" si="4"/>
        <v>11524.907636796081</v>
      </c>
      <c r="Z7" s="28">
        <f t="shared" si="5"/>
        <v>0.71128521126760558</v>
      </c>
      <c r="AA7" s="17">
        <f t="shared" si="6"/>
        <v>41.788086007861324</v>
      </c>
      <c r="AB7" s="18">
        <f t="shared" si="7"/>
        <v>3.7326112751683507</v>
      </c>
      <c r="AC7" s="18">
        <f t="shared" si="8"/>
        <v>9.3522658536718755</v>
      </c>
      <c r="AD7" s="12">
        <f t="shared" si="9"/>
        <v>0.87260462728458144</v>
      </c>
    </row>
    <row r="8" spans="1:30" s="10" customFormat="1" x14ac:dyDescent="0.3">
      <c r="G8" s="7">
        <v>187.1</v>
      </c>
      <c r="H8" s="8">
        <v>0.95</v>
      </c>
      <c r="I8" s="7">
        <v>96.5</v>
      </c>
      <c r="J8" s="7">
        <v>37.200000000000003</v>
      </c>
      <c r="K8" s="7">
        <v>81.3</v>
      </c>
      <c r="L8" s="26">
        <v>2.0100000000000001E-5</v>
      </c>
      <c r="M8" s="14">
        <v>1.06</v>
      </c>
      <c r="N8" s="27">
        <v>1005</v>
      </c>
      <c r="O8" s="14">
        <v>2.8400000000000002E-2</v>
      </c>
      <c r="P8" s="7">
        <v>59.25</v>
      </c>
      <c r="Q8" s="7">
        <f>K8-J8</f>
        <v>44.099999999999994</v>
      </c>
      <c r="R8" s="7">
        <f t="shared" si="0"/>
        <v>37.25</v>
      </c>
      <c r="S8" s="17">
        <f>0.65*3.1415926535*0.014^2/4*(2*H8*1000/M8)^0.5*3600</f>
        <v>15.250556021792978</v>
      </c>
      <c r="T8" s="17">
        <f>S8*(273+P8)/(273+J8)</f>
        <v>16.334613920827586</v>
      </c>
      <c r="U8" s="17">
        <f t="shared" si="1"/>
        <v>14.441097249476259</v>
      </c>
      <c r="V8" s="19">
        <f>S8*M8/3600</f>
        <v>4.49044149530571E-3</v>
      </c>
      <c r="W8" s="30">
        <f t="shared" si="2"/>
        <v>213.16548657075589</v>
      </c>
      <c r="X8" s="17">
        <f t="shared" si="3"/>
        <v>76.300845304968547</v>
      </c>
      <c r="Y8" s="21">
        <f t="shared" si="4"/>
        <v>15231.406054173965</v>
      </c>
      <c r="Z8" s="28">
        <f t="shared" si="5"/>
        <v>0.71128521126760558</v>
      </c>
      <c r="AA8" s="17">
        <f t="shared" si="6"/>
        <v>53.732989651386298</v>
      </c>
      <c r="AB8" s="18">
        <f t="shared" si="7"/>
        <v>3.9840271453179517</v>
      </c>
      <c r="AC8" s="18">
        <f t="shared" si="8"/>
        <v>9.6311147629787381</v>
      </c>
      <c r="AD8" s="12">
        <f t="shared" si="9"/>
        <v>0.87260462728458144</v>
      </c>
    </row>
    <row r="9" spans="1:30" s="10" customFormat="1" x14ac:dyDescent="0.3">
      <c r="G9" s="7">
        <v>189.9</v>
      </c>
      <c r="H9" s="8">
        <v>1.35</v>
      </c>
      <c r="I9" s="7">
        <v>96.1</v>
      </c>
      <c r="J9" s="7">
        <v>38.299999999999997</v>
      </c>
      <c r="K9" s="7">
        <v>80.7</v>
      </c>
      <c r="L9" s="26">
        <v>2.0100000000000001E-5</v>
      </c>
      <c r="M9" s="14">
        <v>1.06</v>
      </c>
      <c r="N9" s="27">
        <v>1005</v>
      </c>
      <c r="O9" s="14">
        <v>2.8400000000000002E-2</v>
      </c>
      <c r="P9" s="7">
        <v>59.5</v>
      </c>
      <c r="Q9" s="7">
        <f>K9-J9</f>
        <v>42.400000000000006</v>
      </c>
      <c r="R9" s="7">
        <f t="shared" si="0"/>
        <v>36.599999999999994</v>
      </c>
      <c r="S9" s="17">
        <f>0.65*3.1415926535*0.014^2/4*(2*H9*1000/M9)^0.5*3600</f>
        <v>18.179869422688157</v>
      </c>
      <c r="T9" s="17">
        <f>S9*(273+P9)/(273+J9)</f>
        <v>19.417945978296856</v>
      </c>
      <c r="U9" s="17">
        <f t="shared" si="1"/>
        <v>17.167007902164986</v>
      </c>
      <c r="V9" s="19">
        <f>S9*M9/3600</f>
        <v>5.3529615522359573E-3</v>
      </c>
      <c r="W9" s="30">
        <f t="shared" si="2"/>
        <v>243.63437913022693</v>
      </c>
      <c r="X9" s="17">
        <f t="shared" si="3"/>
        <v>88.755693672213837</v>
      </c>
      <c r="Y9" s="21">
        <f t="shared" si="4"/>
        <v>18106.495896810829</v>
      </c>
      <c r="Z9" s="28">
        <f t="shared" si="5"/>
        <v>0.71128521126760558</v>
      </c>
      <c r="AA9" s="17">
        <f t="shared" si="6"/>
        <v>62.504009628319601</v>
      </c>
      <c r="AB9" s="18">
        <f t="shared" si="7"/>
        <v>4.1352307087376863</v>
      </c>
      <c r="AC9" s="18">
        <f t="shared" si="8"/>
        <v>9.8040260421951118</v>
      </c>
      <c r="AD9" s="12">
        <f t="shared" si="9"/>
        <v>0.87260462728458144</v>
      </c>
    </row>
    <row r="10" spans="1:30" s="10" customFormat="1" x14ac:dyDescent="0.3">
      <c r="G10" s="7">
        <v>190</v>
      </c>
      <c r="H10" s="8">
        <v>1.74</v>
      </c>
      <c r="I10" s="7">
        <v>95.9</v>
      </c>
      <c r="J10" s="7">
        <v>40.9</v>
      </c>
      <c r="K10" s="7">
        <v>80.8</v>
      </c>
      <c r="L10" s="26">
        <v>2.0100000000000001E-5</v>
      </c>
      <c r="M10" s="14">
        <v>1.06</v>
      </c>
      <c r="N10" s="27">
        <v>1005</v>
      </c>
      <c r="O10" s="14">
        <v>2.8400000000000002E-2</v>
      </c>
      <c r="P10" s="7">
        <v>60.849999999999994</v>
      </c>
      <c r="Q10" s="7">
        <f>K10-J10</f>
        <v>39.9</v>
      </c>
      <c r="R10" s="7">
        <f t="shared" si="0"/>
        <v>35.050000000000011</v>
      </c>
      <c r="S10" s="17">
        <f>0.65*3.1415926535*0.014^2/4*(2*H10*1000/M10)^0.5*3600</f>
        <v>20.639468032069864</v>
      </c>
      <c r="T10" s="17">
        <f>S10*(273+P10)/(273+J10)</f>
        <v>21.951215044620977</v>
      </c>
      <c r="U10" s="17">
        <f t="shared" si="1"/>
        <v>19.406619142638252</v>
      </c>
      <c r="V10" s="19">
        <f>S10*M10/3600</f>
        <v>6.0771766983316825E-3</v>
      </c>
      <c r="W10" s="30">
        <f t="shared" si="2"/>
        <v>259.17964237296826</v>
      </c>
      <c r="X10" s="17">
        <f t="shared" si="3"/>
        <v>98.5942529236208</v>
      </c>
      <c r="Y10" s="21">
        <f t="shared" si="4"/>
        <v>20468.67292656373</v>
      </c>
      <c r="Z10" s="28">
        <f t="shared" si="5"/>
        <v>0.71128521126760558</v>
      </c>
      <c r="AA10" s="17">
        <f t="shared" si="6"/>
        <v>69.432572481423094</v>
      </c>
      <c r="AB10" s="18">
        <f t="shared" si="7"/>
        <v>4.2403561015179863</v>
      </c>
      <c r="AC10" s="18">
        <f t="shared" si="8"/>
        <v>9.9266508463907854</v>
      </c>
      <c r="AD10" s="12">
        <f t="shared" si="9"/>
        <v>0.87260462728458144</v>
      </c>
    </row>
    <row r="11" spans="1:30" s="10" customFormat="1" x14ac:dyDescent="0.3">
      <c r="G11" s="7">
        <v>190.4</v>
      </c>
      <c r="H11" s="8">
        <v>2.14</v>
      </c>
      <c r="I11" s="7">
        <v>95.8</v>
      </c>
      <c r="J11" s="7">
        <v>43.4</v>
      </c>
      <c r="K11" s="7">
        <v>81.2</v>
      </c>
      <c r="L11" s="26">
        <v>2.0100000000000001E-5</v>
      </c>
      <c r="M11" s="14">
        <v>1.06</v>
      </c>
      <c r="N11" s="27">
        <v>1005</v>
      </c>
      <c r="O11" s="14">
        <v>2.8400000000000002E-2</v>
      </c>
      <c r="P11" s="7">
        <v>62.3</v>
      </c>
      <c r="Q11" s="7">
        <f>K11-J11</f>
        <v>37.800000000000004</v>
      </c>
      <c r="R11" s="7">
        <f t="shared" si="0"/>
        <v>33.5</v>
      </c>
      <c r="S11" s="17">
        <f>0.65*3.1415926535*0.014^2/4*(2*H11*1000/M11)^0.5*3600</f>
        <v>22.889207804093601</v>
      </c>
      <c r="T11" s="17">
        <f>S11*(273+P11)/(273+J11)</f>
        <v>24.256483491506273</v>
      </c>
      <c r="U11" s="17">
        <f t="shared" si="1"/>
        <v>21.444659710292697</v>
      </c>
      <c r="V11" s="19">
        <f>S11*M11/3600</f>
        <v>6.7396000756497825E-3</v>
      </c>
      <c r="W11" s="30">
        <f t="shared" si="2"/>
        <v>271.32453456676723</v>
      </c>
      <c r="X11" s="17">
        <f t="shared" si="3"/>
        <v>107.98986450418596</v>
      </c>
      <c r="Y11" s="21">
        <f t="shared" si="4"/>
        <v>22618.248052647028</v>
      </c>
      <c r="Z11" s="28">
        <f t="shared" si="5"/>
        <v>0.71128521126760558</v>
      </c>
      <c r="AA11" s="17">
        <f t="shared" si="6"/>
        <v>76.049200355060535</v>
      </c>
      <c r="AB11" s="18">
        <f t="shared" si="7"/>
        <v>4.3313805039236648</v>
      </c>
      <c r="AC11" s="18">
        <f t="shared" si="8"/>
        <v>10.026512295417161</v>
      </c>
      <c r="AD11" s="12">
        <f t="shared" si="9"/>
        <v>0.87260462728458144</v>
      </c>
    </row>
    <row r="12" spans="1:30" x14ac:dyDescent="0.3">
      <c r="A12">
        <v>100.4</v>
      </c>
      <c r="B12">
        <v>100.1</v>
      </c>
      <c r="C12" s="4">
        <f>A12-J12</f>
        <v>61.800000000000004</v>
      </c>
      <c r="D12" s="4">
        <f>B12-K12</f>
        <v>23.899999999999991</v>
      </c>
      <c r="E12" s="4">
        <f>(C12-D12)/LN(C12/D12)</f>
        <v>39.893690975405249</v>
      </c>
      <c r="F12" s="4">
        <f>W12/0.4295/E12</f>
        <v>12.928186091416189</v>
      </c>
      <c r="H12" s="2">
        <v>1.44</v>
      </c>
      <c r="J12" s="4">
        <v>38.6</v>
      </c>
      <c r="K12" s="4">
        <v>76.2</v>
      </c>
      <c r="M12" s="14">
        <v>1.06</v>
      </c>
      <c r="N12" s="27">
        <v>1005</v>
      </c>
      <c r="P12" s="6">
        <f>(J12+K12)/2</f>
        <v>57.400000000000006</v>
      </c>
      <c r="Q12" s="7">
        <f>K12-J12</f>
        <v>37.6</v>
      </c>
      <c r="S12" s="17">
        <f t="shared" ref="S12:S16" si="10">0.65*3.1415926535*0.014^2/4*(2*H12*1000/M12)^0.5*3600</f>
        <v>18.776088402745781</v>
      </c>
      <c r="T12" s="17">
        <f t="shared" ref="T12:T16" si="11">S12*(273+P12)/(273+J12)</f>
        <v>19.908920437314524</v>
      </c>
      <c r="V12" s="19">
        <f>T12*M12/3600</f>
        <v>5.8620710176537213E-3</v>
      </c>
      <c r="W12" s="30">
        <f>N12*V12*Q12</f>
        <v>221.51593961509883</v>
      </c>
    </row>
    <row r="13" spans="1:30" x14ac:dyDescent="0.3">
      <c r="A13">
        <v>100.4</v>
      </c>
      <c r="B13">
        <v>100.2</v>
      </c>
      <c r="C13" s="4">
        <f t="shared" ref="C13:C16" si="12">A13-J13</f>
        <v>61.400000000000006</v>
      </c>
      <c r="D13" s="4">
        <f t="shared" ref="D13:D16" si="13">B13-K13</f>
        <v>25</v>
      </c>
      <c r="E13" s="4">
        <f t="shared" ref="E13:E16" si="14">(C13-D13)/LN(C13/D13)</f>
        <v>40.510430972399959</v>
      </c>
      <c r="F13" s="4">
        <f t="shared" ref="F13:F16" si="15">W13/0.4295/E13</f>
        <v>15.557533015270151</v>
      </c>
      <c r="H13" s="2">
        <v>2.33</v>
      </c>
      <c r="J13" s="4">
        <v>39</v>
      </c>
      <c r="K13" s="4">
        <v>75.2</v>
      </c>
      <c r="M13" s="14">
        <v>1.06</v>
      </c>
      <c r="N13" s="27">
        <v>1005</v>
      </c>
      <c r="P13" s="6">
        <f t="shared" ref="P13:P16" si="16">(J13+K13)/2</f>
        <v>57.1</v>
      </c>
      <c r="Q13" s="7">
        <f>K13-J13</f>
        <v>36.200000000000003</v>
      </c>
      <c r="S13" s="17">
        <f t="shared" si="10"/>
        <v>23.883712560943049</v>
      </c>
      <c r="T13" s="17">
        <f t="shared" si="11"/>
        <v>25.269274090920838</v>
      </c>
      <c r="V13" s="19">
        <f t="shared" ref="V13:V16" si="17">T13*M13/3600</f>
        <v>7.4403973712155805E-3</v>
      </c>
      <c r="W13" s="30">
        <f t="shared" ref="W13:W16" si="18">N13*V13*Q13</f>
        <v>270.68909676219403</v>
      </c>
    </row>
    <row r="14" spans="1:30" x14ac:dyDescent="0.3">
      <c r="A14">
        <v>100.4</v>
      </c>
      <c r="B14">
        <v>100.2</v>
      </c>
      <c r="C14" s="4">
        <f t="shared" si="12"/>
        <v>60.2</v>
      </c>
      <c r="D14" s="4">
        <f t="shared" si="13"/>
        <v>25.5</v>
      </c>
      <c r="E14" s="4">
        <f t="shared" si="14"/>
        <v>40.396095937264093</v>
      </c>
      <c r="F14" s="4">
        <f t="shared" si="15"/>
        <v>17.430978700375501</v>
      </c>
      <c r="H14" s="2">
        <v>3.22</v>
      </c>
      <c r="J14" s="4">
        <v>40.200000000000003</v>
      </c>
      <c r="K14" s="4">
        <v>74.7</v>
      </c>
      <c r="M14" s="14">
        <v>1.06</v>
      </c>
      <c r="N14" s="27">
        <v>1005</v>
      </c>
      <c r="P14" s="6">
        <f t="shared" si="16"/>
        <v>57.45</v>
      </c>
      <c r="Q14" s="7">
        <f>K14-J14</f>
        <v>34.5</v>
      </c>
      <c r="S14" s="17">
        <f t="shared" si="10"/>
        <v>28.07707170770793</v>
      </c>
      <c r="T14" s="17">
        <f t="shared" si="11"/>
        <v>29.623462151379584</v>
      </c>
      <c r="V14" s="19">
        <f t="shared" si="17"/>
        <v>8.7224638556839904E-3</v>
      </c>
      <c r="W14" s="30">
        <f t="shared" si="18"/>
        <v>302.42962803620316</v>
      </c>
      <c r="AA14" s="15">
        <f>AA7/AA2</f>
        <v>1.2202546567059795</v>
      </c>
    </row>
    <row r="15" spans="1:30" x14ac:dyDescent="0.3">
      <c r="A15">
        <v>100.4</v>
      </c>
      <c r="B15">
        <v>100.1</v>
      </c>
      <c r="C15" s="4">
        <f t="shared" si="12"/>
        <v>59.2</v>
      </c>
      <c r="D15" s="4">
        <f t="shared" si="13"/>
        <v>25.5</v>
      </c>
      <c r="E15" s="4">
        <f t="shared" si="14"/>
        <v>40.012201241069448</v>
      </c>
      <c r="F15" s="4">
        <f t="shared" si="15"/>
        <v>19.189633072569698</v>
      </c>
      <c r="H15" s="2">
        <v>4.0999999999999996</v>
      </c>
      <c r="J15" s="4">
        <v>41.2</v>
      </c>
      <c r="K15" s="4">
        <v>74.599999999999994</v>
      </c>
      <c r="M15" s="14">
        <v>1.06</v>
      </c>
      <c r="N15" s="27">
        <v>1005</v>
      </c>
      <c r="P15" s="6">
        <f t="shared" si="16"/>
        <v>57.9</v>
      </c>
      <c r="Q15" s="7">
        <f>K15-J15</f>
        <v>33.399999999999991</v>
      </c>
      <c r="S15" s="17">
        <f t="shared" si="10"/>
        <v>31.682234467197759</v>
      </c>
      <c r="T15" s="17">
        <f t="shared" si="11"/>
        <v>33.366172454474018</v>
      </c>
      <c r="V15" s="19">
        <f t="shared" si="17"/>
        <v>9.8244841115951269E-3</v>
      </c>
      <c r="W15" s="30">
        <f t="shared" si="18"/>
        <v>329.77845817391352</v>
      </c>
      <c r="AA15" s="15">
        <f t="shared" ref="AA15:AA21" si="19">AA8/AA3</f>
        <v>1.2939374473441576</v>
      </c>
    </row>
    <row r="16" spans="1:30" x14ac:dyDescent="0.3">
      <c r="A16">
        <v>100.4</v>
      </c>
      <c r="B16">
        <v>100.1</v>
      </c>
      <c r="C16" s="4">
        <f t="shared" si="12"/>
        <v>58.300000000000004</v>
      </c>
      <c r="D16" s="4">
        <f t="shared" si="13"/>
        <v>25.799999999999997</v>
      </c>
      <c r="E16" s="4">
        <f t="shared" si="14"/>
        <v>39.866167366065909</v>
      </c>
      <c r="F16" s="4">
        <f t="shared" si="15"/>
        <v>20.464844381093798</v>
      </c>
      <c r="H16" s="2">
        <v>5</v>
      </c>
      <c r="J16" s="4">
        <v>42.1</v>
      </c>
      <c r="K16" s="4">
        <v>74.3</v>
      </c>
      <c r="M16" s="14">
        <v>1.06</v>
      </c>
      <c r="N16" s="27">
        <v>1005</v>
      </c>
      <c r="P16" s="6">
        <f t="shared" si="16"/>
        <v>58.2</v>
      </c>
      <c r="Q16" s="7">
        <f>K16-J16</f>
        <v>32.199999999999996</v>
      </c>
      <c r="S16" s="17">
        <f t="shared" si="10"/>
        <v>34.98717501673751</v>
      </c>
      <c r="T16" s="17">
        <f t="shared" si="11"/>
        <v>36.774840893505115</v>
      </c>
      <c r="V16" s="19">
        <f t="shared" si="17"/>
        <v>1.0828147596420951E-2</v>
      </c>
      <c r="W16" s="30">
        <f t="shared" si="18"/>
        <v>350.40968436777831</v>
      </c>
      <c r="AA16" s="15">
        <f t="shared" si="19"/>
        <v>1.3227911361148332</v>
      </c>
    </row>
    <row r="17" spans="27:27" x14ac:dyDescent="0.3">
      <c r="AA17" s="15">
        <f t="shared" si="19"/>
        <v>1.3200275003597486</v>
      </c>
    </row>
    <row r="18" spans="27:27" x14ac:dyDescent="0.3">
      <c r="AA18" s="15">
        <f t="shared" si="19"/>
        <v>1.3657641729808561</v>
      </c>
    </row>
    <row r="19" spans="27:27" x14ac:dyDescent="0.3">
      <c r="AA19">
        <f t="shared" si="19"/>
        <v>0</v>
      </c>
    </row>
    <row r="20" spans="27:27" x14ac:dyDescent="0.3">
      <c r="AA20">
        <f t="shared" si="19"/>
        <v>0</v>
      </c>
    </row>
    <row r="21" spans="27:27" x14ac:dyDescent="0.3">
      <c r="AA21">
        <f t="shared" si="19"/>
        <v>1.9522822039133646E-2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5B85-9964-45EB-AE0D-27A2B8CD362F}">
  <dimension ref="A1:P30"/>
  <sheetViews>
    <sheetView tabSelected="1" topLeftCell="A13" zoomScale="40" zoomScaleNormal="40" workbookViewId="0">
      <selection activeCell="L22" sqref="L22:P22"/>
    </sheetView>
  </sheetViews>
  <sheetFormatPr defaultRowHeight="14" x14ac:dyDescent="0.3"/>
  <sheetData>
    <row r="1" spans="1:16" ht="56" x14ac:dyDescent="0.3">
      <c r="A1" s="1" t="s">
        <v>27</v>
      </c>
      <c r="G1" s="10"/>
      <c r="H1" s="10"/>
      <c r="I1" s="10"/>
      <c r="J1" s="10"/>
      <c r="K1" s="10"/>
      <c r="L1">
        <v>100.4</v>
      </c>
      <c r="M1">
        <v>100.4</v>
      </c>
      <c r="N1">
        <v>100.4</v>
      </c>
      <c r="O1">
        <v>100.4</v>
      </c>
      <c r="P1">
        <v>100.4</v>
      </c>
    </row>
    <row r="2" spans="1:16" ht="56" x14ac:dyDescent="0.3">
      <c r="A2" s="1" t="s">
        <v>28</v>
      </c>
      <c r="G2" s="10"/>
      <c r="H2" s="10"/>
      <c r="I2" s="10"/>
      <c r="J2" s="10"/>
      <c r="K2" s="10"/>
      <c r="L2">
        <v>100.1</v>
      </c>
      <c r="M2">
        <v>100.2</v>
      </c>
      <c r="N2">
        <v>100.2</v>
      </c>
      <c r="O2">
        <v>100.1</v>
      </c>
      <c r="P2">
        <v>100.1</v>
      </c>
    </row>
    <row r="3" spans="1:16" ht="16.5" x14ac:dyDescent="0.4">
      <c r="A3" s="31" t="s">
        <v>29</v>
      </c>
      <c r="G3" s="10"/>
      <c r="H3" s="10"/>
      <c r="I3" s="10"/>
      <c r="J3" s="10"/>
      <c r="K3" s="10"/>
      <c r="L3" s="4">
        <f>L1-L10</f>
        <v>61.800000000000004</v>
      </c>
      <c r="M3" s="4">
        <f>M1-M10</f>
        <v>61.400000000000006</v>
      </c>
      <c r="N3" s="4">
        <f>N1-N10</f>
        <v>60.2</v>
      </c>
      <c r="O3" s="4">
        <f>O1-O10</f>
        <v>59.2</v>
      </c>
      <c r="P3" s="4">
        <f>P1-P10</f>
        <v>58.300000000000004</v>
      </c>
    </row>
    <row r="4" spans="1:16" x14ac:dyDescent="0.3">
      <c r="A4" s="1" t="s">
        <v>30</v>
      </c>
      <c r="G4" s="10"/>
      <c r="H4" s="10"/>
      <c r="I4" s="10"/>
      <c r="J4" s="10"/>
      <c r="K4" s="10"/>
      <c r="L4" s="4">
        <f>L2-L11</f>
        <v>23.899999999999991</v>
      </c>
      <c r="M4" s="4">
        <f>M2-M11</f>
        <v>25</v>
      </c>
      <c r="N4" s="4">
        <f>N2-N11</f>
        <v>25.5</v>
      </c>
      <c r="O4" s="4">
        <f>O2-O11</f>
        <v>25.5</v>
      </c>
      <c r="P4" s="4">
        <f>P2-P11</f>
        <v>25.799999999999997</v>
      </c>
    </row>
    <row r="5" spans="1:16" x14ac:dyDescent="0.3">
      <c r="A5" s="1"/>
      <c r="G5" s="10"/>
      <c r="H5" s="10"/>
      <c r="I5" s="10"/>
      <c r="J5" s="10"/>
      <c r="K5" s="10"/>
      <c r="L5" s="4">
        <f>(L3-L4)/LN(L3/L4)</f>
        <v>39.893690975405249</v>
      </c>
      <c r="M5" s="4">
        <f>(M3-M4)/LN(M3/M4)</f>
        <v>40.510430972399959</v>
      </c>
      <c r="N5" s="4">
        <f>(N3-N4)/LN(N3/N4)</f>
        <v>40.396095937264093</v>
      </c>
      <c r="O5" s="4">
        <f>(O3-O4)/LN(O3/O4)</f>
        <v>40.012201241069448</v>
      </c>
      <c r="P5" s="4">
        <f>(P3-P4)/LN(P3/P4)</f>
        <v>39.866167366065909</v>
      </c>
    </row>
    <row r="6" spans="1:16" x14ac:dyDescent="0.3">
      <c r="A6" s="1" t="s">
        <v>31</v>
      </c>
      <c r="G6" s="10"/>
      <c r="H6" s="10"/>
      <c r="I6" s="10"/>
      <c r="J6" s="10"/>
      <c r="K6" s="10"/>
      <c r="L6" s="4">
        <f>L23/0.4295/L5</f>
        <v>12.928186091416189</v>
      </c>
      <c r="M6" s="4">
        <f>M23/0.4295/M5</f>
        <v>15.557533015270151</v>
      </c>
      <c r="N6" s="4">
        <f>N23/0.4295/N5</f>
        <v>17.430978700375501</v>
      </c>
      <c r="O6" s="4">
        <f>O23/0.4295/O5</f>
        <v>19.189633072569698</v>
      </c>
      <c r="P6" s="4">
        <f>P23/0.4295/P5</f>
        <v>20.464844381093798</v>
      </c>
    </row>
    <row r="7" spans="1:16" ht="28" x14ac:dyDescent="0.3">
      <c r="A7" s="3" t="s">
        <v>0</v>
      </c>
      <c r="B7" s="4">
        <v>189</v>
      </c>
      <c r="C7" s="4">
        <v>189.5</v>
      </c>
      <c r="D7" s="4">
        <v>189.5</v>
      </c>
      <c r="E7" s="4">
        <v>180</v>
      </c>
      <c r="F7" s="4">
        <v>174</v>
      </c>
      <c r="G7" s="7">
        <v>173.1</v>
      </c>
      <c r="H7" s="7">
        <v>187.1</v>
      </c>
      <c r="I7" s="7">
        <v>189.9</v>
      </c>
      <c r="J7" s="7">
        <v>190</v>
      </c>
      <c r="K7" s="7">
        <v>190.4</v>
      </c>
      <c r="L7" s="4"/>
      <c r="M7" s="4"/>
      <c r="N7" s="4"/>
      <c r="O7" s="4"/>
      <c r="P7" s="4"/>
    </row>
    <row r="8" spans="1:16" ht="42" x14ac:dyDescent="0.3">
      <c r="A8" s="3" t="s">
        <v>1</v>
      </c>
      <c r="B8" s="2">
        <v>0.83</v>
      </c>
      <c r="C8" s="2">
        <v>1.42</v>
      </c>
      <c r="D8" s="2">
        <v>1.98</v>
      </c>
      <c r="E8" s="2">
        <v>2.58</v>
      </c>
      <c r="F8" s="2">
        <v>3.15</v>
      </c>
      <c r="G8" s="8">
        <v>0.54</v>
      </c>
      <c r="H8" s="8">
        <v>0.95</v>
      </c>
      <c r="I8" s="8">
        <v>1.35</v>
      </c>
      <c r="J8" s="8">
        <v>1.74</v>
      </c>
      <c r="K8" s="8">
        <v>2.14</v>
      </c>
      <c r="L8" s="2">
        <v>1.44</v>
      </c>
      <c r="M8" s="2">
        <v>2.33</v>
      </c>
      <c r="N8" s="2">
        <v>3.22</v>
      </c>
      <c r="O8" s="2">
        <v>4.0999999999999996</v>
      </c>
      <c r="P8" s="2">
        <v>5</v>
      </c>
    </row>
    <row r="9" spans="1:16" ht="72" x14ac:dyDescent="0.3">
      <c r="A9" s="3" t="s">
        <v>14</v>
      </c>
      <c r="B9" s="4">
        <v>97.2</v>
      </c>
      <c r="C9" s="4">
        <v>96.8</v>
      </c>
      <c r="D9" s="4">
        <v>96.6</v>
      </c>
      <c r="E9" s="4">
        <v>96.3</v>
      </c>
      <c r="F9" s="4">
        <v>96.3</v>
      </c>
      <c r="G9" s="7">
        <v>97.1</v>
      </c>
      <c r="H9" s="7">
        <v>96.5</v>
      </c>
      <c r="I9" s="7">
        <v>96.1</v>
      </c>
      <c r="J9" s="7">
        <v>95.9</v>
      </c>
      <c r="K9" s="7">
        <v>95.8</v>
      </c>
      <c r="L9" s="4"/>
      <c r="M9" s="4"/>
      <c r="N9" s="4"/>
      <c r="O9" s="4"/>
      <c r="P9" s="4"/>
    </row>
    <row r="10" spans="1:16" ht="56" x14ac:dyDescent="0.3">
      <c r="A10" s="3" t="s">
        <v>10</v>
      </c>
      <c r="B10" s="4">
        <v>35</v>
      </c>
      <c r="C10" s="4">
        <v>38.700000000000003</v>
      </c>
      <c r="D10" s="4">
        <v>40.4</v>
      </c>
      <c r="E10" s="4">
        <v>42.4</v>
      </c>
      <c r="F10" s="4">
        <v>45.4</v>
      </c>
      <c r="G10" s="7">
        <v>35.9</v>
      </c>
      <c r="H10" s="7">
        <v>37.200000000000003</v>
      </c>
      <c r="I10" s="7">
        <v>38.299999999999997</v>
      </c>
      <c r="J10" s="7">
        <v>40.9</v>
      </c>
      <c r="K10" s="7">
        <v>43.4</v>
      </c>
      <c r="L10" s="4">
        <v>38.6</v>
      </c>
      <c r="M10" s="4">
        <v>39</v>
      </c>
      <c r="N10" s="4">
        <v>40.200000000000003</v>
      </c>
      <c r="O10" s="4">
        <v>41.2</v>
      </c>
      <c r="P10" s="4">
        <v>42.1</v>
      </c>
    </row>
    <row r="11" spans="1:16" ht="56" x14ac:dyDescent="0.3">
      <c r="A11" s="3" t="s">
        <v>11</v>
      </c>
      <c r="B11" s="4">
        <v>70.7</v>
      </c>
      <c r="C11" s="4">
        <v>70.599999999999994</v>
      </c>
      <c r="D11" s="4">
        <v>70.5</v>
      </c>
      <c r="E11" s="4">
        <v>70.8</v>
      </c>
      <c r="F11" s="4">
        <v>71.599999999999994</v>
      </c>
      <c r="G11" s="7">
        <v>82.2</v>
      </c>
      <c r="H11" s="7">
        <v>81.3</v>
      </c>
      <c r="I11" s="7">
        <v>80.7</v>
      </c>
      <c r="J11" s="7">
        <v>80.8</v>
      </c>
      <c r="K11" s="7">
        <v>81.2</v>
      </c>
      <c r="L11" s="4">
        <v>76.2</v>
      </c>
      <c r="M11" s="4">
        <v>75.2</v>
      </c>
      <c r="N11" s="4">
        <v>74.7</v>
      </c>
      <c r="O11" s="4">
        <v>74.599999999999994</v>
      </c>
      <c r="P11" s="4">
        <v>74.3</v>
      </c>
    </row>
    <row r="12" spans="1:16" ht="44" x14ac:dyDescent="0.3">
      <c r="A12" s="3" t="s">
        <v>16</v>
      </c>
      <c r="B12" s="20">
        <v>1.9599999999999999E-5</v>
      </c>
      <c r="C12" s="20">
        <v>1.9599999999999999E-5</v>
      </c>
      <c r="D12" s="22">
        <v>2.0100000000000001E-5</v>
      </c>
      <c r="E12" s="22">
        <v>2.0100000000000001E-5</v>
      </c>
      <c r="F12" s="22">
        <v>2.0100000000000001E-5</v>
      </c>
      <c r="G12" s="26">
        <v>2.0100000000000001E-5</v>
      </c>
      <c r="H12" s="26">
        <v>2.0100000000000001E-5</v>
      </c>
      <c r="I12" s="26">
        <v>2.0100000000000001E-5</v>
      </c>
      <c r="J12" s="26">
        <v>2.0100000000000001E-5</v>
      </c>
      <c r="K12" s="26">
        <v>2.0100000000000001E-5</v>
      </c>
    </row>
    <row r="13" spans="1:16" ht="61.5" x14ac:dyDescent="0.3">
      <c r="A13" s="25" t="s">
        <v>17</v>
      </c>
      <c r="B13" s="13">
        <v>1.0926</v>
      </c>
      <c r="C13" s="13">
        <v>1.0761000000000001</v>
      </c>
      <c r="D13" s="13">
        <v>1.0761000000000001</v>
      </c>
      <c r="E13" s="13">
        <v>1.0761000000000001</v>
      </c>
      <c r="F13" s="13">
        <v>1.06</v>
      </c>
      <c r="G13" s="14">
        <v>1.06</v>
      </c>
      <c r="H13" s="14">
        <v>1.06</v>
      </c>
      <c r="I13" s="14">
        <v>1.06</v>
      </c>
      <c r="J13" s="14">
        <v>1.06</v>
      </c>
      <c r="K13" s="14">
        <v>1.06</v>
      </c>
      <c r="L13" s="14">
        <v>1.06</v>
      </c>
      <c r="M13" s="14">
        <v>1.06</v>
      </c>
      <c r="N13" s="14">
        <v>1.06</v>
      </c>
      <c r="O13" s="14">
        <v>1.06</v>
      </c>
      <c r="P13" s="14">
        <v>1.06</v>
      </c>
    </row>
    <row r="14" spans="1:16" ht="45.5" x14ac:dyDescent="0.3">
      <c r="A14" s="23" t="s">
        <v>18</v>
      </c>
      <c r="B14" s="24">
        <v>1005</v>
      </c>
      <c r="C14" s="24">
        <v>1005</v>
      </c>
      <c r="D14" s="24">
        <v>1005</v>
      </c>
      <c r="E14" s="24">
        <v>1005</v>
      </c>
      <c r="F14" s="24">
        <v>1005</v>
      </c>
      <c r="G14" s="27">
        <v>1005</v>
      </c>
      <c r="H14" s="27">
        <v>1005</v>
      </c>
      <c r="I14" s="27">
        <v>1005</v>
      </c>
      <c r="J14" s="27">
        <v>1005</v>
      </c>
      <c r="K14" s="27">
        <v>1005</v>
      </c>
      <c r="L14" s="27">
        <v>1005</v>
      </c>
      <c r="M14" s="27">
        <v>1005</v>
      </c>
      <c r="N14" s="27">
        <v>1005</v>
      </c>
      <c r="O14" s="27">
        <v>1005</v>
      </c>
      <c r="P14" s="27">
        <v>1005</v>
      </c>
    </row>
    <row r="15" spans="1:16" ht="59.5" x14ac:dyDescent="0.3">
      <c r="A15" s="23" t="s">
        <v>19</v>
      </c>
      <c r="B15" s="13">
        <v>2.8400000000000002E-2</v>
      </c>
      <c r="C15" s="13">
        <v>2.8400000000000002E-2</v>
      </c>
      <c r="D15" s="13">
        <v>2.8400000000000002E-2</v>
      </c>
      <c r="E15" s="13">
        <v>2.8400000000000002E-2</v>
      </c>
      <c r="F15" s="13">
        <v>2.8400000000000002E-2</v>
      </c>
      <c r="G15" s="14">
        <v>2.8400000000000002E-2</v>
      </c>
      <c r="H15" s="14">
        <v>2.8400000000000002E-2</v>
      </c>
      <c r="I15" s="14">
        <v>2.8400000000000002E-2</v>
      </c>
      <c r="J15" s="14">
        <v>2.8400000000000002E-2</v>
      </c>
      <c r="K15" s="14">
        <v>2.8400000000000002E-2</v>
      </c>
    </row>
    <row r="16" spans="1:16" ht="30" x14ac:dyDescent="0.3">
      <c r="A16" s="11" t="s">
        <v>15</v>
      </c>
      <c r="B16" s="4">
        <v>52.85</v>
      </c>
      <c r="C16" s="4">
        <v>54.65</v>
      </c>
      <c r="D16" s="4">
        <v>55.45</v>
      </c>
      <c r="E16" s="4">
        <v>56.599999999999994</v>
      </c>
      <c r="F16" s="4">
        <v>58.5</v>
      </c>
      <c r="G16" s="7">
        <v>59.05</v>
      </c>
      <c r="H16" s="7">
        <v>59.25</v>
      </c>
      <c r="I16" s="7">
        <v>59.5</v>
      </c>
      <c r="J16" s="7">
        <v>60.849999999999994</v>
      </c>
      <c r="K16" s="7">
        <v>62.3</v>
      </c>
      <c r="L16" s="6">
        <f>(L10+L11)/2</f>
        <v>57.400000000000006</v>
      </c>
      <c r="M16" s="6">
        <f>(M10+M11)/2</f>
        <v>57.1</v>
      </c>
      <c r="N16" s="6">
        <f>(N10+N11)/2</f>
        <v>57.45</v>
      </c>
      <c r="O16" s="6">
        <f>(O10+O11)/2</f>
        <v>57.9</v>
      </c>
      <c r="P16" s="6">
        <f>(P10+P11)/2</f>
        <v>58.2</v>
      </c>
    </row>
    <row r="17" spans="1:16" ht="28" x14ac:dyDescent="0.3">
      <c r="A17" s="9" t="s">
        <v>7</v>
      </c>
      <c r="B17" s="4">
        <f>B11-B10</f>
        <v>35.700000000000003</v>
      </c>
      <c r="C17" s="4">
        <f>C11-C10</f>
        <v>31.899999999999991</v>
      </c>
      <c r="D17" s="4">
        <f>D11-D10</f>
        <v>30.1</v>
      </c>
      <c r="E17" s="4">
        <f>E11-E10</f>
        <v>28.4</v>
      </c>
      <c r="F17" s="4">
        <f>F11-F10</f>
        <v>26.199999999999996</v>
      </c>
      <c r="G17" s="7">
        <f>G11-G10</f>
        <v>46.300000000000004</v>
      </c>
      <c r="H17" s="7">
        <f>H11-H10</f>
        <v>44.099999999999994</v>
      </c>
      <c r="I17" s="7">
        <f>I11-I10</f>
        <v>42.400000000000006</v>
      </c>
      <c r="J17" s="7">
        <f>J11-J10</f>
        <v>39.9</v>
      </c>
      <c r="K17" s="7">
        <f>K11-K10</f>
        <v>37.800000000000004</v>
      </c>
      <c r="L17" s="7">
        <f>L11-L10</f>
        <v>37.6</v>
      </c>
      <c r="M17" s="7">
        <f>M11-M10</f>
        <v>36.200000000000003</v>
      </c>
      <c r="N17" s="7">
        <f>N11-N10</f>
        <v>34.5</v>
      </c>
      <c r="O17" s="7">
        <f>O11-O10</f>
        <v>33.399999999999991</v>
      </c>
      <c r="P17" s="7">
        <f>P11-P10</f>
        <v>32.199999999999996</v>
      </c>
    </row>
    <row r="18" spans="1:16" ht="44" x14ac:dyDescent="0.3">
      <c r="A18" s="9" t="s">
        <v>13</v>
      </c>
      <c r="B18" s="4">
        <f>B9-B16</f>
        <v>44.35</v>
      </c>
      <c r="C18" s="4">
        <f>C9-C16</f>
        <v>42.15</v>
      </c>
      <c r="D18" s="4">
        <f>D9-D16</f>
        <v>41.149999999999991</v>
      </c>
      <c r="E18" s="4">
        <f>E9-E16</f>
        <v>39.700000000000003</v>
      </c>
      <c r="F18" s="4">
        <f>F9-F16</f>
        <v>37.799999999999997</v>
      </c>
      <c r="G18" s="7">
        <f>G9-G16</f>
        <v>38.049999999999997</v>
      </c>
      <c r="H18" s="7">
        <f>H9-H16</f>
        <v>37.25</v>
      </c>
      <c r="I18" s="7">
        <f>I9-I16</f>
        <v>36.599999999999994</v>
      </c>
      <c r="J18" s="7">
        <f>J9-J16</f>
        <v>35.050000000000011</v>
      </c>
      <c r="K18" s="7">
        <f>K9-K16</f>
        <v>33.5</v>
      </c>
    </row>
    <row r="19" spans="1:16" ht="60.5" x14ac:dyDescent="0.3">
      <c r="A19" s="9" t="s">
        <v>8</v>
      </c>
      <c r="B19" s="5">
        <f>0.65*3.1415926535*0.014^2/4*(2*B8*1000/B13)^0.5*3600</f>
        <v>14.040586714470273</v>
      </c>
      <c r="C19" s="5">
        <f>0.65*3.1415926535*0.014^2/4*(2*C8*1000/C13)^0.5*3600</f>
        <v>18.50523754921635</v>
      </c>
      <c r="D19" s="5">
        <f>0.65*3.1415926535*0.014^2/4*(2*D8*1000/D13)^0.5*3600</f>
        <v>21.851592219210119</v>
      </c>
      <c r="E19" s="5">
        <f>0.65*3.1415926535*0.014^2/4*(2*E8*1000/E13)^0.5*3600</f>
        <v>24.943669597186926</v>
      </c>
      <c r="F19" s="5">
        <f>0.65*3.1415926535*0.014^2/4*(2*F8*1000/F13)^0.5*3600</f>
        <v>27.770209251293867</v>
      </c>
      <c r="G19" s="17">
        <f>0.65*3.1415926535*0.014^2/4*(2*G8*1000/G13)^0.5*3600</f>
        <v>11.497958988028993</v>
      </c>
      <c r="H19" s="17">
        <f>0.65*3.1415926535*0.014^2/4*(2*H8*1000/H13)^0.5*3600</f>
        <v>15.250556021792978</v>
      </c>
      <c r="I19" s="17">
        <f>0.65*3.1415926535*0.014^2/4*(2*I8*1000/I13)^0.5*3600</f>
        <v>18.179869422688157</v>
      </c>
      <c r="J19" s="17">
        <f>0.65*3.1415926535*0.014^2/4*(2*J8*1000/J13)^0.5*3600</f>
        <v>20.639468032069864</v>
      </c>
      <c r="K19" s="17">
        <f>0.65*3.1415926535*0.014^2/4*(2*K8*1000/K13)^0.5*3600</f>
        <v>22.889207804093601</v>
      </c>
      <c r="L19" s="17">
        <f>0.65*3.1415926535*0.014^2/4*(2*L8*1000/L13)^0.5*3600</f>
        <v>18.776088402745781</v>
      </c>
      <c r="M19" s="17">
        <f>0.65*3.1415926535*0.014^2/4*(2*M8*1000/M13)^0.5*3600</f>
        <v>23.883712560943049</v>
      </c>
      <c r="N19" s="17">
        <f>0.65*3.1415926535*0.014^2/4*(2*N8*1000/N13)^0.5*3600</f>
        <v>28.07707170770793</v>
      </c>
      <c r="O19" s="17">
        <f>0.65*3.1415926535*0.014^2/4*(2*O8*1000/O13)^0.5*3600</f>
        <v>31.682234467197759</v>
      </c>
      <c r="P19" s="17">
        <f>0.65*3.1415926535*0.014^2/4*(2*P8*1000/P13)^0.5*3600</f>
        <v>34.98717501673751</v>
      </c>
    </row>
    <row r="20" spans="1:16" ht="60.5" x14ac:dyDescent="0.3">
      <c r="A20" s="9" t="s">
        <v>9</v>
      </c>
      <c r="B20" s="5">
        <f>B19*(273+B16)/(273+B10)</f>
        <v>14.854302535422528</v>
      </c>
      <c r="C20" s="5">
        <f>C19*(273+C16)/(273+C10)</f>
        <v>19.45216901828918</v>
      </c>
      <c r="D20" s="5">
        <f>D19*(273+D16)/(273+D10)</f>
        <v>22.900942770898418</v>
      </c>
      <c r="E20" s="5">
        <f>E19*(273+E16)/(273+E10)</f>
        <v>26.066688329844045</v>
      </c>
      <c r="F20" s="5">
        <f>F19*(273+F16)/(273+F10)</f>
        <v>28.912764971117834</v>
      </c>
      <c r="G20" s="17">
        <f>G19*(273+G16)/(273+G10)</f>
        <v>12.359654522418346</v>
      </c>
      <c r="H20" s="17">
        <f>H19*(273+H16)/(273+H10)</f>
        <v>16.334613920827586</v>
      </c>
      <c r="I20" s="17">
        <f>I19*(273+I16)/(273+I10)</f>
        <v>19.417945978296856</v>
      </c>
      <c r="J20" s="17">
        <f>J19*(273+J16)/(273+J10)</f>
        <v>21.951215044620977</v>
      </c>
      <c r="K20" s="17">
        <f>K19*(273+K16)/(273+K10)</f>
        <v>24.256483491506273</v>
      </c>
      <c r="L20" s="17">
        <f>L19*(273+L16)/(273+L10)</f>
        <v>19.908920437314524</v>
      </c>
      <c r="M20" s="17">
        <f>M19*(273+M16)/(273+M10)</f>
        <v>25.269274090920838</v>
      </c>
      <c r="N20" s="17">
        <f>N19*(273+N16)/(273+N10)</f>
        <v>29.623462151379584</v>
      </c>
      <c r="O20" s="17">
        <f>O19*(273+O16)/(273+O10)</f>
        <v>33.366172454474018</v>
      </c>
      <c r="P20" s="17">
        <f>P19*(273+P16)/(273+P10)</f>
        <v>36.774840893505115</v>
      </c>
    </row>
    <row r="21" spans="1:16" ht="44" x14ac:dyDescent="0.3">
      <c r="A21" s="9" t="s">
        <v>12</v>
      </c>
      <c r="B21" s="5">
        <f>B20/(3.142*10^(-4)*3600)</f>
        <v>13.13238430531025</v>
      </c>
      <c r="C21" s="5">
        <f>C20/(3.142*10^(-4)*3600)</f>
        <v>17.197263790127643</v>
      </c>
      <c r="D21" s="5">
        <f>D20/(3.142*10^(-4)*3600)</f>
        <v>20.246253952629623</v>
      </c>
      <c r="E21" s="5">
        <f>E20/(3.142*10^(-4)*3600)</f>
        <v>23.04502469220246</v>
      </c>
      <c r="F21" s="5">
        <f>F20/(3.142*10^(-4)*3600)</f>
        <v>25.561182696016193</v>
      </c>
      <c r="G21" s="17">
        <f>G20/(3.142*10^(-4)*3600)</f>
        <v>10.926917146207606</v>
      </c>
      <c r="H21" s="17">
        <f>H20/(3.142*10^(-4)*3600)</f>
        <v>14.441097249476259</v>
      </c>
      <c r="I21" s="17">
        <f>I20/(3.142*10^(-4)*3600)</f>
        <v>17.167007902164986</v>
      </c>
      <c r="J21" s="17">
        <f>J20/(3.142*10^(-4)*3600)</f>
        <v>19.406619142638252</v>
      </c>
      <c r="K21" s="17">
        <f>K20/(3.142*10^(-4)*3600)</f>
        <v>21.444659710292697</v>
      </c>
    </row>
    <row r="22" spans="1:16" x14ac:dyDescent="0.3">
      <c r="A22" s="9" t="s">
        <v>6</v>
      </c>
      <c r="B22" s="16">
        <f>B19*B13/3600</f>
        <v>4.2613180678417279E-3</v>
      </c>
      <c r="C22" s="16">
        <f>C19*C13/3600</f>
        <v>5.5315239240865868E-3</v>
      </c>
      <c r="D22" s="16">
        <f>D19*D13/3600</f>
        <v>6.5318051075255587E-3</v>
      </c>
      <c r="E22" s="16">
        <f>E19*E13/3600</f>
        <v>7.4560785704257922E-3</v>
      </c>
      <c r="F22" s="16">
        <f>F19*F13/3600</f>
        <v>8.1767838351031949E-3</v>
      </c>
      <c r="G22" s="19">
        <f>G19*G13/3600</f>
        <v>3.3855101464752035E-3</v>
      </c>
      <c r="H22" s="19">
        <f>H19*H13/3600</f>
        <v>4.49044149530571E-3</v>
      </c>
      <c r="I22" s="19">
        <f>I19*I13/3600</f>
        <v>5.3529615522359573E-3</v>
      </c>
      <c r="J22" s="19">
        <f>J19*J13/3600</f>
        <v>6.0771766983316825E-3</v>
      </c>
      <c r="K22" s="19">
        <f>K19*K13/3600</f>
        <v>6.7396000756497825E-3</v>
      </c>
      <c r="L22" s="19">
        <f>L20*L13/3600</f>
        <v>5.8620710176537213E-3</v>
      </c>
      <c r="M22" s="19">
        <f>M20*M13/3600</f>
        <v>7.4403973712155805E-3</v>
      </c>
      <c r="N22" s="19">
        <f>N20*N13/3600</f>
        <v>8.7224638556839904E-3</v>
      </c>
      <c r="O22" s="19">
        <f>O20*O13/3600</f>
        <v>9.8244841115951269E-3</v>
      </c>
      <c r="P22" s="19">
        <f>P20*P13/3600</f>
        <v>1.0828147596420951E-2</v>
      </c>
    </row>
    <row r="23" spans="1:16" ht="42" x14ac:dyDescent="0.3">
      <c r="A23" s="9" t="s">
        <v>20</v>
      </c>
      <c r="B23" s="29">
        <f>B20*B13*B14*B17/3600</f>
        <v>161.75035338245721</v>
      </c>
      <c r="C23" s="29">
        <f>C20*C13*C14*C17/3600</f>
        <v>186.41244807885721</v>
      </c>
      <c r="D23" s="29">
        <f>D20*D13*D14*D17/3600</f>
        <v>207.07899540392015</v>
      </c>
      <c r="E23" s="29">
        <f>E20*E13*E14*E17/3600</f>
        <v>222.39263045661966</v>
      </c>
      <c r="F23" s="29">
        <f>F20*F13*F14*F17/3600</f>
        <v>224.16114870049273</v>
      </c>
      <c r="G23" s="30">
        <f>G20*G13*G14*G17/3600</f>
        <v>169.33890563180663</v>
      </c>
      <c r="H23" s="30">
        <f>H20*H13*H14*H17/3600</f>
        <v>213.16548657075589</v>
      </c>
      <c r="I23" s="30">
        <f>I20*I13*I14*I17/3600</f>
        <v>243.63437913022693</v>
      </c>
      <c r="J23" s="30">
        <f>J20*J13*J14*J17/3600</f>
        <v>259.17964237296826</v>
      </c>
      <c r="K23" s="30">
        <f>K20*K13*K14*K17/3600</f>
        <v>271.32453456676723</v>
      </c>
      <c r="L23" s="30">
        <f>L14*L22*L17</f>
        <v>221.51593961509883</v>
      </c>
      <c r="M23" s="30">
        <f>M14*M22*M17</f>
        <v>270.68909676219403</v>
      </c>
      <c r="N23" s="30">
        <f>N14*N22*N17</f>
        <v>302.42962803620316</v>
      </c>
      <c r="O23" s="30">
        <f>O14*O22*O17</f>
        <v>329.77845817391352</v>
      </c>
      <c r="P23" s="30">
        <f>P14*P22*P17</f>
        <v>350.40968436777831</v>
      </c>
    </row>
    <row r="24" spans="1:16" ht="42" x14ac:dyDescent="0.3">
      <c r="A24" s="9" t="s">
        <v>21</v>
      </c>
      <c r="B24" s="5">
        <f>B23/0.075/B18</f>
        <v>48.628441452824418</v>
      </c>
      <c r="C24" s="5">
        <f>C23/0.075/C18</f>
        <v>58.967955106004652</v>
      </c>
      <c r="D24" s="5">
        <f>D23/0.075/D18</f>
        <v>67.097284861537531</v>
      </c>
      <c r="E24" s="5">
        <f>E23/0.075/E18</f>
        <v>74.69105976712666</v>
      </c>
      <c r="F24" s="5">
        <f>F23/0.075/F18</f>
        <v>79.069188254142063</v>
      </c>
      <c r="G24" s="17">
        <f>G23/0.075/G18</f>
        <v>59.339082131163082</v>
      </c>
      <c r="H24" s="17">
        <f>H23/0.075/H18</f>
        <v>76.300845304968547</v>
      </c>
      <c r="I24" s="17">
        <f>I23/0.075/I18</f>
        <v>88.755693672213837</v>
      </c>
      <c r="J24" s="17">
        <f>J23/0.075/J18</f>
        <v>98.5942529236208</v>
      </c>
      <c r="K24" s="17">
        <f>K23/0.075/K18</f>
        <v>107.98986450418596</v>
      </c>
    </row>
    <row r="25" spans="1:16" ht="28" x14ac:dyDescent="0.3">
      <c r="A25" s="9" t="s">
        <v>22</v>
      </c>
      <c r="B25" s="20">
        <f>0.02*B21*B13/B12</f>
        <v>14641.2684612061</v>
      </c>
      <c r="C25" s="20">
        <f>0.02*C21*C13/C12</f>
        <v>18883.648535261589</v>
      </c>
      <c r="D25" s="20">
        <f>0.02*D21*D13/D12</f>
        <v>21678.600874054464</v>
      </c>
      <c r="E25" s="20">
        <f>0.02*E21*E13/E12</f>
        <v>24675.374200277682</v>
      </c>
      <c r="F25" s="20">
        <f>0.02*F21*F13/F12</f>
        <v>26960.053390823054</v>
      </c>
      <c r="G25" s="21">
        <f>0.02*G21*G13/G12</f>
        <v>11524.907636796081</v>
      </c>
      <c r="H25" s="21">
        <f>0.02*H21*H13/H12</f>
        <v>15231.406054173965</v>
      </c>
      <c r="I25" s="21">
        <f>0.02*I21*I13/I12</f>
        <v>18106.495896810829</v>
      </c>
      <c r="J25" s="21">
        <f>0.02*J21*J13/J12</f>
        <v>20468.67292656373</v>
      </c>
      <c r="K25" s="21">
        <f>0.02*K21*K13/K12</f>
        <v>22618.248052647028</v>
      </c>
    </row>
    <row r="26" spans="1:16" ht="28" x14ac:dyDescent="0.3">
      <c r="A26" s="9" t="s">
        <v>23</v>
      </c>
      <c r="B26" s="12">
        <f>B14*B12/B15</f>
        <v>0.6935915492957746</v>
      </c>
      <c r="C26" s="12">
        <f>C14*C12/C15</f>
        <v>0.6935915492957746</v>
      </c>
      <c r="D26" s="12">
        <f>D14*D12/D15</f>
        <v>0.71128521126760558</v>
      </c>
      <c r="E26" s="12">
        <f>E14*E12/E15</f>
        <v>0.71128521126760558</v>
      </c>
      <c r="F26" s="12">
        <f>F14*F12/F15</f>
        <v>0.71128521126760558</v>
      </c>
      <c r="G26" s="28">
        <f>G14*G12/G15</f>
        <v>0.71128521126760558</v>
      </c>
      <c r="H26" s="28">
        <f>H14*H12/H15</f>
        <v>0.71128521126760558</v>
      </c>
      <c r="I26" s="28">
        <f>I14*I12/I15</f>
        <v>0.71128521126760558</v>
      </c>
      <c r="J26" s="28">
        <f>J14*J12/J15</f>
        <v>0.71128521126760558</v>
      </c>
      <c r="K26" s="28">
        <f>K14*K12/K15</f>
        <v>0.71128521126760558</v>
      </c>
    </row>
    <row r="27" spans="1:16" ht="42.5" x14ac:dyDescent="0.3">
      <c r="A27" s="9" t="s">
        <v>24</v>
      </c>
      <c r="B27" s="5">
        <f>B24*0.02/B15</f>
        <v>34.245381304805925</v>
      </c>
      <c r="C27" s="5">
        <f>C24*0.02/C15</f>
        <v>41.526728947890597</v>
      </c>
      <c r="D27" s="5">
        <f>D24*0.02/D15</f>
        <v>47.251609057420794</v>
      </c>
      <c r="E27" s="5">
        <f>E24*0.02/E15</f>
        <v>52.599337864173705</v>
      </c>
      <c r="F27" s="5">
        <f>F24*0.02/F15</f>
        <v>55.682526939536665</v>
      </c>
      <c r="G27" s="17">
        <f>G24*0.02/G15</f>
        <v>41.788086007861324</v>
      </c>
      <c r="H27" s="17">
        <f>H24*0.02/H15</f>
        <v>53.732989651386298</v>
      </c>
      <c r="I27" s="17">
        <f>I24*0.02/I15</f>
        <v>62.504009628319601</v>
      </c>
      <c r="J27" s="17">
        <f>J24*0.02/J15</f>
        <v>69.432572481423094</v>
      </c>
      <c r="K27" s="17">
        <f>K24*0.02/K15</f>
        <v>76.049200355060535</v>
      </c>
    </row>
    <row r="28" spans="1:16" x14ac:dyDescent="0.3">
      <c r="A28" s="9" t="s">
        <v>25</v>
      </c>
      <c r="B28" s="15">
        <f>LN(B27)</f>
        <v>3.5335517032004042</v>
      </c>
      <c r="C28" s="15">
        <f>LN(C27)</f>
        <v>3.7263372909454295</v>
      </c>
      <c r="D28" s="15">
        <f>LN(D27)</f>
        <v>3.8554867074852308</v>
      </c>
      <c r="E28" s="15">
        <f>LN(E27)</f>
        <v>3.9627035315308534</v>
      </c>
      <c r="F28" s="15">
        <f>LN(F27)</f>
        <v>4.019666398249548</v>
      </c>
      <c r="G28" s="18">
        <f>LN(G27)</f>
        <v>3.7326112751683507</v>
      </c>
      <c r="H28" s="18">
        <f>LN(H27)</f>
        <v>3.9840271453179517</v>
      </c>
      <c r="I28" s="18">
        <f>LN(I27)</f>
        <v>4.1352307087376863</v>
      </c>
      <c r="J28" s="18">
        <f>LN(J27)</f>
        <v>4.2403561015179863</v>
      </c>
      <c r="K28" s="18">
        <f>LN(K27)</f>
        <v>4.3313805039236648</v>
      </c>
    </row>
    <row r="29" spans="1:16" x14ac:dyDescent="0.3">
      <c r="A29" s="9" t="s">
        <v>26</v>
      </c>
      <c r="B29" s="15">
        <f>LN(B25)</f>
        <v>9.591599427286976</v>
      </c>
      <c r="C29" s="15">
        <f>LN(C25)</f>
        <v>9.8460516697190723</v>
      </c>
      <c r="D29" s="15">
        <f>LN(D25)</f>
        <v>9.9840809181414976</v>
      </c>
      <c r="E29" s="15">
        <f>LN(E25)</f>
        <v>10.113561029344856</v>
      </c>
      <c r="F29" s="15">
        <f>LN(F25)</f>
        <v>10.202111545396058</v>
      </c>
      <c r="G29" s="18">
        <f>LN(G25)</f>
        <v>9.3522658536718755</v>
      </c>
      <c r="H29" s="18">
        <f>LN(H25)</f>
        <v>9.6311147629787381</v>
      </c>
      <c r="I29" s="18">
        <f>LN(I25)</f>
        <v>9.8040260421951118</v>
      </c>
      <c r="J29" s="18">
        <f>LN(J25)</f>
        <v>9.9266508463907854</v>
      </c>
      <c r="K29" s="18">
        <f>LN(K25)</f>
        <v>10.026512295417161</v>
      </c>
    </row>
    <row r="30" spans="1:16" x14ac:dyDescent="0.3">
      <c r="B30" s="12">
        <f>B26^0.4</f>
        <v>0.86385632460891537</v>
      </c>
      <c r="C30" s="12">
        <f>C26^0.4</f>
        <v>0.86385632460891537</v>
      </c>
      <c r="D30" s="12">
        <f>D26^0.4</f>
        <v>0.87260462728458144</v>
      </c>
      <c r="E30" s="12">
        <f>E26^0.4</f>
        <v>0.87260462728458144</v>
      </c>
      <c r="F30" s="12">
        <f>F26^0.4</f>
        <v>0.87260462728458144</v>
      </c>
      <c r="G30" s="12">
        <f>G26^0.4</f>
        <v>0.87260462728458144</v>
      </c>
      <c r="H30" s="12">
        <f>H26^0.4</f>
        <v>0.87260462728458144</v>
      </c>
      <c r="I30" s="12">
        <f>I26^0.4</f>
        <v>0.87260462728458144</v>
      </c>
      <c r="J30" s="12">
        <f>J26^0.4</f>
        <v>0.87260462728458144</v>
      </c>
      <c r="K30" s="12">
        <f>K26^0.4</f>
        <v>0.87260462728458144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45B8-B068-4FE0-85EB-8B21ECB61B6A}">
  <dimension ref="A1:L24"/>
  <sheetViews>
    <sheetView topLeftCell="A10" zoomScale="55" zoomScaleNormal="55" workbookViewId="0">
      <selection activeCell="I24" sqref="I24"/>
    </sheetView>
  </sheetViews>
  <sheetFormatPr defaultRowHeight="14" x14ac:dyDescent="0.3"/>
  <cols>
    <col min="1" max="1" width="9.25" bestFit="1" customWidth="1"/>
    <col min="2" max="6" width="9.75" bestFit="1" customWidth="1"/>
    <col min="8" max="12" width="9.75" bestFit="1" customWidth="1"/>
  </cols>
  <sheetData>
    <row r="1" spans="1:12" ht="28" x14ac:dyDescent="0.3">
      <c r="A1" s="3" t="s">
        <v>0</v>
      </c>
      <c r="B1" s="4">
        <v>189</v>
      </c>
      <c r="C1" s="4">
        <v>189.5</v>
      </c>
      <c r="D1" s="4">
        <v>189.5</v>
      </c>
      <c r="E1" s="4">
        <v>180</v>
      </c>
      <c r="F1" s="4">
        <v>174</v>
      </c>
      <c r="H1" s="7">
        <v>173.1</v>
      </c>
      <c r="I1" s="7">
        <v>187.1</v>
      </c>
      <c r="J1" s="7">
        <v>189.9</v>
      </c>
      <c r="K1" s="7">
        <v>190</v>
      </c>
      <c r="L1" s="7">
        <v>190.4</v>
      </c>
    </row>
    <row r="2" spans="1:12" ht="28" x14ac:dyDescent="0.3">
      <c r="A2" s="3" t="s">
        <v>1</v>
      </c>
      <c r="B2" s="2">
        <v>0.83</v>
      </c>
      <c r="C2" s="2">
        <v>1.42</v>
      </c>
      <c r="D2" s="2">
        <v>1.98</v>
      </c>
      <c r="E2" s="2">
        <v>2.58</v>
      </c>
      <c r="F2" s="2">
        <v>3.15</v>
      </c>
      <c r="H2" s="8">
        <v>0.54</v>
      </c>
      <c r="I2" s="8">
        <v>0.95</v>
      </c>
      <c r="J2" s="8">
        <v>1.35</v>
      </c>
      <c r="K2" s="8">
        <v>1.74</v>
      </c>
      <c r="L2" s="8">
        <v>2.14</v>
      </c>
    </row>
    <row r="3" spans="1:12" ht="72" x14ac:dyDescent="0.3">
      <c r="A3" s="3" t="s">
        <v>14</v>
      </c>
      <c r="B3" s="4">
        <v>97.2</v>
      </c>
      <c r="C3" s="4">
        <v>96.8</v>
      </c>
      <c r="D3" s="4">
        <v>96.6</v>
      </c>
      <c r="E3" s="4">
        <v>96.3</v>
      </c>
      <c r="F3" s="4">
        <v>96.3</v>
      </c>
      <c r="H3" s="7">
        <v>97.1</v>
      </c>
      <c r="I3" s="7">
        <v>96.5</v>
      </c>
      <c r="J3" s="7">
        <v>96.1</v>
      </c>
      <c r="K3" s="7">
        <v>95.9</v>
      </c>
      <c r="L3" s="7">
        <v>95.8</v>
      </c>
    </row>
    <row r="4" spans="1:12" ht="56" x14ac:dyDescent="0.3">
      <c r="A4" s="3" t="s">
        <v>10</v>
      </c>
      <c r="B4" s="4">
        <v>35</v>
      </c>
      <c r="C4" s="4">
        <v>38.700000000000003</v>
      </c>
      <c r="D4" s="4">
        <v>40.4</v>
      </c>
      <c r="E4" s="4">
        <v>42.4</v>
      </c>
      <c r="F4" s="4">
        <v>45.4</v>
      </c>
      <c r="H4" s="7">
        <v>35.9</v>
      </c>
      <c r="I4" s="7">
        <v>37.200000000000003</v>
      </c>
      <c r="J4" s="7">
        <v>38.299999999999997</v>
      </c>
      <c r="K4" s="7">
        <v>40.9</v>
      </c>
      <c r="L4" s="7">
        <v>43.4</v>
      </c>
    </row>
    <row r="5" spans="1:12" ht="56" x14ac:dyDescent="0.3">
      <c r="A5" s="3" t="s">
        <v>11</v>
      </c>
      <c r="B5" s="4">
        <v>70.7</v>
      </c>
      <c r="C5" s="4">
        <v>70.599999999999994</v>
      </c>
      <c r="D5" s="4">
        <v>70.5</v>
      </c>
      <c r="E5" s="4">
        <v>70.8</v>
      </c>
      <c r="F5" s="4">
        <v>71.599999999999994</v>
      </c>
      <c r="H5" s="7">
        <v>82.2</v>
      </c>
      <c r="I5" s="7">
        <v>81.3</v>
      </c>
      <c r="J5" s="7">
        <v>80.7</v>
      </c>
      <c r="K5" s="7">
        <v>80.8</v>
      </c>
      <c r="L5" s="7">
        <v>81.2</v>
      </c>
    </row>
    <row r="6" spans="1:12" ht="44" x14ac:dyDescent="0.3">
      <c r="A6" s="3" t="s">
        <v>16</v>
      </c>
      <c r="B6" s="20">
        <v>1.9599999999999999E-5</v>
      </c>
      <c r="C6" s="20">
        <v>1.9599999999999999E-5</v>
      </c>
      <c r="D6" s="22">
        <v>2.0100000000000001E-5</v>
      </c>
      <c r="E6" s="22">
        <v>2.0100000000000001E-5</v>
      </c>
      <c r="F6" s="22">
        <v>2.0100000000000001E-5</v>
      </c>
      <c r="H6" s="26">
        <v>2.0100000000000001E-5</v>
      </c>
      <c r="I6" s="26">
        <v>2.0100000000000001E-5</v>
      </c>
      <c r="J6" s="26">
        <v>2.0100000000000001E-5</v>
      </c>
      <c r="K6" s="26">
        <v>2.0100000000000001E-5</v>
      </c>
      <c r="L6" s="26">
        <v>2.0100000000000001E-5</v>
      </c>
    </row>
    <row r="7" spans="1:12" ht="61.5" x14ac:dyDescent="0.3">
      <c r="A7" s="25" t="s">
        <v>17</v>
      </c>
      <c r="B7" s="13">
        <v>1.0926</v>
      </c>
      <c r="C7" s="13">
        <v>1.0761000000000001</v>
      </c>
      <c r="D7" s="13">
        <v>1.0761000000000001</v>
      </c>
      <c r="E7" s="13">
        <v>1.0761000000000001</v>
      </c>
      <c r="F7" s="13">
        <v>1.06</v>
      </c>
      <c r="H7" s="14">
        <v>1.06</v>
      </c>
      <c r="I7" s="14">
        <v>1.06</v>
      </c>
      <c r="J7" s="14">
        <v>1.06</v>
      </c>
      <c r="K7" s="14">
        <v>1.06</v>
      </c>
      <c r="L7" s="14">
        <v>1.06</v>
      </c>
    </row>
    <row r="8" spans="1:12" ht="45.5" x14ac:dyDescent="0.3">
      <c r="A8" s="23" t="s">
        <v>18</v>
      </c>
      <c r="B8" s="24">
        <v>1005</v>
      </c>
      <c r="C8" s="24">
        <v>1005</v>
      </c>
      <c r="D8" s="24">
        <v>1005</v>
      </c>
      <c r="E8" s="24">
        <v>1005</v>
      </c>
      <c r="F8" s="24">
        <v>1005</v>
      </c>
      <c r="H8" s="27">
        <v>1005</v>
      </c>
      <c r="I8" s="27">
        <v>1005</v>
      </c>
      <c r="J8" s="27">
        <v>1005</v>
      </c>
      <c r="K8" s="27">
        <v>1005</v>
      </c>
      <c r="L8" s="27">
        <v>1005</v>
      </c>
    </row>
    <row r="9" spans="1:12" ht="59.5" x14ac:dyDescent="0.3">
      <c r="A9" s="23" t="s">
        <v>19</v>
      </c>
      <c r="B9" s="13">
        <v>2.8400000000000002E-2</v>
      </c>
      <c r="C9" s="13">
        <v>2.8400000000000002E-2</v>
      </c>
      <c r="D9" s="13">
        <v>2.8400000000000002E-2</v>
      </c>
      <c r="E9" s="13">
        <v>2.8400000000000002E-2</v>
      </c>
      <c r="F9" s="13">
        <v>2.8400000000000002E-2</v>
      </c>
      <c r="H9" s="14">
        <v>2.8400000000000002E-2</v>
      </c>
      <c r="I9" s="14">
        <v>2.8400000000000002E-2</v>
      </c>
      <c r="J9" s="14">
        <v>2.8400000000000002E-2</v>
      </c>
      <c r="K9" s="14">
        <v>2.8400000000000002E-2</v>
      </c>
      <c r="L9" s="14">
        <v>2.8400000000000002E-2</v>
      </c>
    </row>
    <row r="10" spans="1:12" ht="30" x14ac:dyDescent="0.3">
      <c r="A10" s="11" t="s">
        <v>15</v>
      </c>
      <c r="B10" s="4">
        <v>52.85</v>
      </c>
      <c r="C10" s="4">
        <v>54.65</v>
      </c>
      <c r="D10" s="4">
        <v>55.45</v>
      </c>
      <c r="E10" s="4">
        <v>56.599999999999994</v>
      </c>
      <c r="F10" s="4">
        <v>58.5</v>
      </c>
      <c r="H10" s="7">
        <v>59.05</v>
      </c>
      <c r="I10" s="7">
        <v>59.25</v>
      </c>
      <c r="J10" s="7">
        <v>59.5</v>
      </c>
      <c r="K10" s="7">
        <v>60.849999999999994</v>
      </c>
      <c r="L10" s="7">
        <v>62.3</v>
      </c>
    </row>
    <row r="11" spans="1:12" ht="28" x14ac:dyDescent="0.3">
      <c r="A11" s="9" t="s">
        <v>7</v>
      </c>
      <c r="B11" s="4">
        <f>B5-B4</f>
        <v>35.700000000000003</v>
      </c>
      <c r="C11" s="4">
        <f>C5-C4</f>
        <v>31.899999999999991</v>
      </c>
      <c r="D11" s="4">
        <f>D5-D4</f>
        <v>30.1</v>
      </c>
      <c r="E11" s="4">
        <f>E5-E4</f>
        <v>28.4</v>
      </c>
      <c r="F11" s="4">
        <f>F5-F4</f>
        <v>26.199999999999996</v>
      </c>
      <c r="H11" s="7">
        <f>H5-H4</f>
        <v>46.300000000000004</v>
      </c>
      <c r="I11" s="7">
        <f>I5-I4</f>
        <v>44.099999999999994</v>
      </c>
      <c r="J11" s="7">
        <f>J5-J4</f>
        <v>42.400000000000006</v>
      </c>
      <c r="K11" s="7">
        <f>K5-K4</f>
        <v>39.9</v>
      </c>
      <c r="L11" s="7">
        <f>L5-L4</f>
        <v>37.800000000000004</v>
      </c>
    </row>
    <row r="12" spans="1:12" ht="44" x14ac:dyDescent="0.3">
      <c r="A12" s="9" t="s">
        <v>13</v>
      </c>
      <c r="B12" s="4">
        <f>B3-B10</f>
        <v>44.35</v>
      </c>
      <c r="C12" s="4">
        <f>C3-C10</f>
        <v>42.15</v>
      </c>
      <c r="D12" s="4">
        <f>D3-D10</f>
        <v>41.149999999999991</v>
      </c>
      <c r="E12" s="4">
        <f>E3-E10</f>
        <v>39.700000000000003</v>
      </c>
      <c r="F12" s="4">
        <f>F3-F10</f>
        <v>37.799999999999997</v>
      </c>
      <c r="H12" s="7">
        <f>H3-H10</f>
        <v>38.049999999999997</v>
      </c>
      <c r="I12" s="7">
        <f>I3-I10</f>
        <v>37.25</v>
      </c>
      <c r="J12" s="7">
        <f>J3-J10</f>
        <v>36.599999999999994</v>
      </c>
      <c r="K12" s="7">
        <f>K3-K10</f>
        <v>35.050000000000011</v>
      </c>
      <c r="L12" s="7">
        <f>L3-L10</f>
        <v>33.5</v>
      </c>
    </row>
    <row r="13" spans="1:12" ht="60.5" x14ac:dyDescent="0.3">
      <c r="A13" s="9" t="s">
        <v>8</v>
      </c>
      <c r="B13" s="5">
        <f>0.65*3.1415926535*0.014^2/4*(2*B2*1000/B7)^0.5*3600</f>
        <v>14.040586714470273</v>
      </c>
      <c r="C13" s="5">
        <f>0.65*3.1415926535*0.014^2/4*(2*C2*1000/C7)^0.5*3600</f>
        <v>18.50523754921635</v>
      </c>
      <c r="D13" s="5">
        <f>0.65*3.1415926535*0.014^2/4*(2*D2*1000/D7)^0.5*3600</f>
        <v>21.851592219210119</v>
      </c>
      <c r="E13" s="5">
        <f>0.65*3.1415926535*0.014^2/4*(2*E2*1000/E7)^0.5*3600</f>
        <v>24.943669597186926</v>
      </c>
      <c r="F13" s="5">
        <f>0.65*3.1415926535*0.014^2/4*(2*F2*1000/F7)^0.5*3600</f>
        <v>27.770209251293867</v>
      </c>
      <c r="H13" s="17">
        <f>0.65*3.1415926535*0.014^2/4*(2*H2*1000/H7)^0.5*3600</f>
        <v>11.497958988028993</v>
      </c>
      <c r="I13" s="17">
        <f>0.65*3.1415926535*0.014^2/4*(2*I2*1000/I7)^0.5*3600</f>
        <v>15.250556021792978</v>
      </c>
      <c r="J13" s="17">
        <f>0.65*3.1415926535*0.014^2/4*(2*J2*1000/J7)^0.5*3600</f>
        <v>18.179869422688157</v>
      </c>
      <c r="K13" s="17">
        <f>0.65*3.1415926535*0.014^2/4*(2*K2*1000/K7)^0.5*3600</f>
        <v>20.639468032069864</v>
      </c>
      <c r="L13" s="17">
        <f>0.65*3.1415926535*0.014^2/4*(2*L2*1000/L7)^0.5*3600</f>
        <v>22.889207804093601</v>
      </c>
    </row>
    <row r="14" spans="1:12" ht="60.5" x14ac:dyDescent="0.3">
      <c r="A14" s="9" t="s">
        <v>9</v>
      </c>
      <c r="B14" s="5">
        <f>B13*(273+B10)/(273+B4)</f>
        <v>14.854302535422528</v>
      </c>
      <c r="C14" s="5">
        <f>C13*(273+C10)/(273+C4)</f>
        <v>19.45216901828918</v>
      </c>
      <c r="D14" s="5">
        <f>D13*(273+D10)/(273+D4)</f>
        <v>22.900942770898418</v>
      </c>
      <c r="E14" s="5">
        <f>E13*(273+E10)/(273+E4)</f>
        <v>26.066688329844045</v>
      </c>
      <c r="F14" s="5">
        <f>F13*(273+F10)/(273+F4)</f>
        <v>28.912764971117834</v>
      </c>
      <c r="H14" s="17">
        <f>H13*(273+H10)/(273+H4)</f>
        <v>12.359654522418346</v>
      </c>
      <c r="I14" s="17">
        <f>I13*(273+I10)/(273+I4)</f>
        <v>16.334613920827586</v>
      </c>
      <c r="J14" s="17">
        <f>J13*(273+J10)/(273+J4)</f>
        <v>19.417945978296856</v>
      </c>
      <c r="K14" s="17">
        <f>K13*(273+K10)/(273+K4)</f>
        <v>21.951215044620977</v>
      </c>
      <c r="L14" s="17">
        <f>L13*(273+L10)/(273+L4)</f>
        <v>24.256483491506273</v>
      </c>
    </row>
    <row r="15" spans="1:12" ht="44" x14ac:dyDescent="0.3">
      <c r="A15" s="9" t="s">
        <v>12</v>
      </c>
      <c r="B15" s="5">
        <f>B14/(3.142*10^(-4)*3600)</f>
        <v>13.13238430531025</v>
      </c>
      <c r="C15" s="5">
        <f>C14/(3.142*10^(-4)*3600)</f>
        <v>17.197263790127643</v>
      </c>
      <c r="D15" s="5">
        <f>D14/(3.142*10^(-4)*3600)</f>
        <v>20.246253952629623</v>
      </c>
      <c r="E15" s="5">
        <f>E14/(3.142*10^(-4)*3600)</f>
        <v>23.04502469220246</v>
      </c>
      <c r="F15" s="5">
        <f>F14/(3.142*10^(-4)*3600)</f>
        <v>25.561182696016193</v>
      </c>
      <c r="H15" s="17">
        <f>H14/(3.142*10^(-4)*3600)</f>
        <v>10.926917146207606</v>
      </c>
      <c r="I15" s="17">
        <f>I14/(3.142*10^(-4)*3600)</f>
        <v>14.441097249476259</v>
      </c>
      <c r="J15" s="17">
        <f>J14/(3.142*10^(-4)*3600)</f>
        <v>17.167007902164986</v>
      </c>
      <c r="K15" s="17">
        <f>K14/(3.142*10^(-4)*3600)</f>
        <v>19.406619142638252</v>
      </c>
      <c r="L15" s="17">
        <f>L14/(3.142*10^(-4)*3600)</f>
        <v>21.444659710292697</v>
      </c>
    </row>
    <row r="16" spans="1:12" x14ac:dyDescent="0.3">
      <c r="A16" s="9" t="s">
        <v>6</v>
      </c>
      <c r="B16" s="16">
        <f>B13*B7/3600</f>
        <v>4.2613180678417279E-3</v>
      </c>
      <c r="C16" s="16">
        <f>C13*C7/3600</f>
        <v>5.5315239240865868E-3</v>
      </c>
      <c r="D16" s="16">
        <f>D13*D7/3600</f>
        <v>6.5318051075255587E-3</v>
      </c>
      <c r="E16" s="16">
        <f>E13*E7/3600</f>
        <v>7.4560785704257922E-3</v>
      </c>
      <c r="F16" s="16">
        <f>F13*F7/3600</f>
        <v>8.1767838351031949E-3</v>
      </c>
      <c r="H16" s="19">
        <f>H13*H7/3600</f>
        <v>3.3855101464752035E-3</v>
      </c>
      <c r="I16" s="19">
        <f>I13*I7/3600</f>
        <v>4.49044149530571E-3</v>
      </c>
      <c r="J16" s="19">
        <f>J13*J7/3600</f>
        <v>5.3529615522359573E-3</v>
      </c>
      <c r="K16" s="19">
        <f>K13*K7/3600</f>
        <v>6.0771766983316825E-3</v>
      </c>
      <c r="L16" s="19">
        <f>L13*L7/3600</f>
        <v>6.7396000756497825E-3</v>
      </c>
    </row>
    <row r="17" spans="1:12" ht="42" x14ac:dyDescent="0.3">
      <c r="A17" s="9" t="s">
        <v>20</v>
      </c>
      <c r="B17" s="29">
        <f>B14*B7*B8*B11/3600</f>
        <v>161.75035338245721</v>
      </c>
      <c r="C17" s="29">
        <f>C14*C7*C8*C11/3600</f>
        <v>186.41244807885721</v>
      </c>
      <c r="D17" s="29">
        <f>D14*D7*D8*D11/3600</f>
        <v>207.07899540392015</v>
      </c>
      <c r="E17" s="29">
        <f>E14*E7*E8*E11/3600</f>
        <v>222.39263045661966</v>
      </c>
      <c r="F17" s="29">
        <f>F14*F7*F8*F11/3600</f>
        <v>224.16114870049273</v>
      </c>
      <c r="H17" s="30">
        <f>H14*H7*H8*H11/3600</f>
        <v>169.33890563180663</v>
      </c>
      <c r="I17" s="30">
        <f>I14*I7*I8*I11/3600</f>
        <v>213.16548657075589</v>
      </c>
      <c r="J17" s="30">
        <f>J14*J7*J8*J11/3600</f>
        <v>243.63437913022693</v>
      </c>
      <c r="K17" s="30">
        <f>K14*K7*K8*K11/3600</f>
        <v>259.17964237296826</v>
      </c>
      <c r="L17" s="30">
        <f>L14*L7*L8*L11/3600</f>
        <v>271.32453456676723</v>
      </c>
    </row>
    <row r="18" spans="1:12" ht="42" x14ac:dyDescent="0.3">
      <c r="A18" s="9" t="s">
        <v>21</v>
      </c>
      <c r="B18" s="5">
        <f>B17/0.075/B12</f>
        <v>48.628441452824418</v>
      </c>
      <c r="C18" s="5">
        <f>C17/0.075/C12</f>
        <v>58.967955106004652</v>
      </c>
      <c r="D18" s="5">
        <f>D17/0.075/D12</f>
        <v>67.097284861537531</v>
      </c>
      <c r="E18" s="5">
        <f>E17/0.075/E12</f>
        <v>74.69105976712666</v>
      </c>
      <c r="F18" s="5">
        <f>F17/0.075/F12</f>
        <v>79.069188254142063</v>
      </c>
      <c r="H18" s="17">
        <f>H17/0.075/H12</f>
        <v>59.339082131163082</v>
      </c>
      <c r="I18" s="17">
        <f>I17/0.075/I12</f>
        <v>76.300845304968547</v>
      </c>
      <c r="J18" s="17">
        <f>J17/0.075/J12</f>
        <v>88.755693672213837</v>
      </c>
      <c r="K18" s="17">
        <f>K17/0.075/K12</f>
        <v>98.5942529236208</v>
      </c>
      <c r="L18" s="17">
        <f>L17/0.075/L12</f>
        <v>107.98986450418596</v>
      </c>
    </row>
    <row r="19" spans="1:12" ht="28" x14ac:dyDescent="0.3">
      <c r="A19" s="9" t="s">
        <v>22</v>
      </c>
      <c r="B19" s="20">
        <f>0.02*B15*B7/B6</f>
        <v>14641.2684612061</v>
      </c>
      <c r="C19" s="20">
        <f>0.02*C15*C7/C6</f>
        <v>18883.648535261589</v>
      </c>
      <c r="D19" s="20">
        <f>0.02*D15*D7/D6</f>
        <v>21678.600874054464</v>
      </c>
      <c r="E19" s="20">
        <f>0.02*E15*E7/E6</f>
        <v>24675.374200277682</v>
      </c>
      <c r="F19" s="20">
        <f>0.02*F15*F7/F6</f>
        <v>26960.053390823054</v>
      </c>
      <c r="H19" s="21">
        <f>0.02*H15*H7/H6</f>
        <v>11524.907636796081</v>
      </c>
      <c r="I19" s="21">
        <f>0.02*I15*I7/I6</f>
        <v>15231.406054173965</v>
      </c>
      <c r="J19" s="21">
        <f>0.02*J15*J7/J6</f>
        <v>18106.495896810829</v>
      </c>
      <c r="K19" s="21">
        <f>0.02*K15*K7/K6</f>
        <v>20468.67292656373</v>
      </c>
      <c r="L19" s="21">
        <f>0.02*L15*L7/L6</f>
        <v>22618.248052647028</v>
      </c>
    </row>
    <row r="20" spans="1:12" ht="28" x14ac:dyDescent="0.3">
      <c r="A20" s="9" t="s">
        <v>23</v>
      </c>
      <c r="B20" s="12">
        <f>B8*B6/B9</f>
        <v>0.6935915492957746</v>
      </c>
      <c r="C20" s="12">
        <f>C8*C6/C9</f>
        <v>0.6935915492957746</v>
      </c>
      <c r="D20" s="12">
        <f>D8*D6/D9</f>
        <v>0.71128521126760558</v>
      </c>
      <c r="E20" s="12">
        <f>E8*E6/E9</f>
        <v>0.71128521126760558</v>
      </c>
      <c r="F20" s="12">
        <f>F8*F6/F9</f>
        <v>0.71128521126760558</v>
      </c>
      <c r="H20" s="28">
        <f>H8*H6/H9</f>
        <v>0.71128521126760558</v>
      </c>
      <c r="I20" s="28">
        <f>I8*I6/I9</f>
        <v>0.71128521126760558</v>
      </c>
      <c r="J20" s="28">
        <f>J8*J6/J9</f>
        <v>0.71128521126760558</v>
      </c>
      <c r="K20" s="28">
        <f>K8*K6/K9</f>
        <v>0.71128521126760558</v>
      </c>
      <c r="L20" s="28">
        <f>L8*L6/L9</f>
        <v>0.71128521126760558</v>
      </c>
    </row>
    <row r="21" spans="1:12" ht="42.5" x14ac:dyDescent="0.3">
      <c r="A21" s="9" t="s">
        <v>24</v>
      </c>
      <c r="B21" s="5">
        <f>B18*0.02/B9</f>
        <v>34.245381304805925</v>
      </c>
      <c r="C21" s="5">
        <f>C18*0.02/C9</f>
        <v>41.526728947890597</v>
      </c>
      <c r="D21" s="5">
        <f>D18*0.02/D9</f>
        <v>47.251609057420794</v>
      </c>
      <c r="E21" s="5">
        <f>E18*0.02/E9</f>
        <v>52.599337864173705</v>
      </c>
      <c r="F21" s="5">
        <f>F18*0.02/F9</f>
        <v>55.682526939536665</v>
      </c>
      <c r="H21" s="17">
        <f>H18*0.02/H9</f>
        <v>41.788086007861324</v>
      </c>
      <c r="I21" s="17">
        <f>I18*0.02/I9</f>
        <v>53.732989651386298</v>
      </c>
      <c r="J21" s="17">
        <f>J18*0.02/J9</f>
        <v>62.504009628319601</v>
      </c>
      <c r="K21" s="17">
        <f>K18*0.02/K9</f>
        <v>69.432572481423094</v>
      </c>
      <c r="L21" s="17">
        <f>L18*0.02/L9</f>
        <v>76.049200355060535</v>
      </c>
    </row>
    <row r="22" spans="1:12" x14ac:dyDescent="0.3">
      <c r="A22" s="9" t="s">
        <v>25</v>
      </c>
      <c r="B22" s="15">
        <f>LN(B21)</f>
        <v>3.5335517032004042</v>
      </c>
      <c r="C22" s="15">
        <f>LN(C21)</f>
        <v>3.7263372909454295</v>
      </c>
      <c r="D22" s="15">
        <f>LN(D21)</f>
        <v>3.8554867074852308</v>
      </c>
      <c r="E22" s="15">
        <f>LN(E21)</f>
        <v>3.9627035315308534</v>
      </c>
      <c r="F22" s="15">
        <f>LN(F21)</f>
        <v>4.019666398249548</v>
      </c>
      <c r="H22" s="18">
        <f>LN(H21)</f>
        <v>3.7326112751683507</v>
      </c>
      <c r="I22" s="18">
        <f>LN(I21)</f>
        <v>3.9840271453179517</v>
      </c>
      <c r="J22" s="18">
        <f>LN(J21)</f>
        <v>4.1352307087376863</v>
      </c>
      <c r="K22" s="18">
        <f>LN(K21)</f>
        <v>4.2403561015179863</v>
      </c>
      <c r="L22" s="18">
        <f>LN(L21)</f>
        <v>4.3313805039236648</v>
      </c>
    </row>
    <row r="23" spans="1:12" x14ac:dyDescent="0.3">
      <c r="A23" s="9" t="s">
        <v>26</v>
      </c>
      <c r="B23" s="15">
        <f>LN(B19)</f>
        <v>9.591599427286976</v>
      </c>
      <c r="C23" s="15">
        <f>LN(C19)</f>
        <v>9.8460516697190723</v>
      </c>
      <c r="D23" s="15">
        <f>LN(D19)</f>
        <v>9.9840809181414976</v>
      </c>
      <c r="E23" s="15">
        <f>LN(E19)</f>
        <v>10.113561029344856</v>
      </c>
      <c r="F23" s="15">
        <f>LN(F19)</f>
        <v>10.202111545396058</v>
      </c>
      <c r="H23" s="18">
        <f>LN(H19)</f>
        <v>9.3522658536718755</v>
      </c>
      <c r="I23" s="18">
        <f>LN(I19)</f>
        <v>9.6311147629787381</v>
      </c>
      <c r="J23" s="18">
        <f>LN(J19)</f>
        <v>9.8040260421951118</v>
      </c>
      <c r="K23" s="18">
        <f>LN(K19)</f>
        <v>9.9266508463907854</v>
      </c>
      <c r="L23" s="18">
        <f>LN(L19)</f>
        <v>10.026512295417161</v>
      </c>
    </row>
    <row r="24" spans="1:12" x14ac:dyDescent="0.3">
      <c r="B24" s="12">
        <f>B20^0.4</f>
        <v>0.86385632460891537</v>
      </c>
      <c r="C24" s="12">
        <f>C20^0.4</f>
        <v>0.86385632460891537</v>
      </c>
      <c r="D24" s="12">
        <f>D20^0.4</f>
        <v>0.87260462728458144</v>
      </c>
      <c r="E24" s="12">
        <f>E20^0.4</f>
        <v>0.87260462728458144</v>
      </c>
      <c r="F24" s="12">
        <f>F20^0.4</f>
        <v>0.87260462728458144</v>
      </c>
      <c r="H24" s="12">
        <f>G20^0.4</f>
        <v>0</v>
      </c>
      <c r="I24" s="12">
        <f>H20^0.4</f>
        <v>0.87260462728458144</v>
      </c>
      <c r="J24" s="12">
        <f>I20^0.4</f>
        <v>0.87260462728458144</v>
      </c>
      <c r="K24" s="12">
        <f>J20^0.4</f>
        <v>0.87260462728458144</v>
      </c>
      <c r="L24" s="12">
        <f>K20^0.4</f>
        <v>0.87260462728458144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8D07-31DF-4953-A078-3B0CA639799A}">
  <dimension ref="A1:F15"/>
  <sheetViews>
    <sheetView workbookViewId="0">
      <selection activeCell="A15" sqref="A15:E15"/>
    </sheetView>
  </sheetViews>
  <sheetFormatPr defaultRowHeight="14" x14ac:dyDescent="0.3"/>
  <cols>
    <col min="1" max="1" width="16.58203125" customWidth="1"/>
    <col min="2" max="2" width="14.58203125" customWidth="1"/>
    <col min="3" max="3" width="17.33203125" customWidth="1"/>
    <col min="4" max="4" width="15.4140625" customWidth="1"/>
    <col min="5" max="5" width="17.33203125" customWidth="1"/>
    <col min="6" max="6" width="16.1640625" customWidth="1"/>
  </cols>
  <sheetData>
    <row r="1" spans="1:6" ht="28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2</v>
      </c>
      <c r="F1" s="3" t="s">
        <v>3</v>
      </c>
    </row>
    <row r="2" spans="1:6" x14ac:dyDescent="0.3">
      <c r="A2">
        <v>190.6</v>
      </c>
      <c r="B2">
        <v>1.44</v>
      </c>
      <c r="C2">
        <v>100.4</v>
      </c>
      <c r="D2">
        <v>100.1</v>
      </c>
      <c r="E2">
        <v>38.6</v>
      </c>
      <c r="F2">
        <v>76.2</v>
      </c>
    </row>
    <row r="3" spans="1:6" x14ac:dyDescent="0.3">
      <c r="A3">
        <v>189.7</v>
      </c>
      <c r="B3">
        <v>2.33</v>
      </c>
      <c r="C3">
        <v>100.4</v>
      </c>
      <c r="D3">
        <v>100.2</v>
      </c>
      <c r="E3" s="6">
        <v>39</v>
      </c>
      <c r="F3">
        <v>75.2</v>
      </c>
    </row>
    <row r="4" spans="1:6" x14ac:dyDescent="0.3">
      <c r="A4">
        <v>190.6</v>
      </c>
      <c r="B4">
        <v>3.22</v>
      </c>
      <c r="C4">
        <v>100.4</v>
      </c>
      <c r="D4">
        <v>100.2</v>
      </c>
      <c r="E4">
        <v>40.200000000000003</v>
      </c>
      <c r="F4">
        <v>74.7</v>
      </c>
    </row>
    <row r="5" spans="1:6" x14ac:dyDescent="0.3">
      <c r="A5">
        <v>190.2</v>
      </c>
      <c r="B5" s="5">
        <v>4.0999999999999996</v>
      </c>
      <c r="C5">
        <v>100.4</v>
      </c>
      <c r="D5">
        <v>100.1</v>
      </c>
      <c r="E5">
        <v>41.2</v>
      </c>
      <c r="F5">
        <v>74.599999999999994</v>
      </c>
    </row>
    <row r="6" spans="1:6" x14ac:dyDescent="0.3">
      <c r="A6">
        <v>190.2</v>
      </c>
      <c r="B6" s="5">
        <v>5</v>
      </c>
      <c r="C6">
        <v>100.4</v>
      </c>
      <c r="D6">
        <v>100.1</v>
      </c>
      <c r="E6">
        <v>42.1</v>
      </c>
      <c r="F6">
        <v>74.3</v>
      </c>
    </row>
    <row r="15" spans="1:6" x14ac:dyDescent="0.3">
      <c r="A15" s="15" t="e">
        <f>#REF!/#REF!</f>
        <v>#REF!</v>
      </c>
      <c r="B15" s="15" t="e">
        <f>#REF!/#REF!</f>
        <v>#REF!</v>
      </c>
      <c r="C15" s="15" t="e">
        <f>#REF!/#REF!</f>
        <v>#REF!</v>
      </c>
      <c r="D15" s="15" t="e">
        <f>#REF!/#REF!</f>
        <v>#REF!</v>
      </c>
      <c r="E15" s="15" t="e">
        <f>#REF!/#REF!</f>
        <v>#REF!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CLJ</dc:creator>
  <cp:lastModifiedBy>丽娇 陈</cp:lastModifiedBy>
  <dcterms:created xsi:type="dcterms:W3CDTF">2015-06-05T18:19:34Z</dcterms:created>
  <dcterms:modified xsi:type="dcterms:W3CDTF">2024-11-19T10:02:38Z</dcterms:modified>
</cp:coreProperties>
</file>