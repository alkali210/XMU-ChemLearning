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2024.6.25-eeeeeeeeeeeeeeeeeeeee\大三第一学期作业\化工基础实验\"/>
    </mc:Choice>
  </mc:AlternateContent>
  <xr:revisionPtr revIDLastSave="0" documentId="13_ncr:1_{C4D90BEE-BAE4-4402-9E26-FADE14DD8603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G7" i="2"/>
  <c r="B7" i="2"/>
  <c r="H6" i="2"/>
  <c r="C4" i="2"/>
  <c r="D4" i="2"/>
  <c r="D6" i="2" s="1"/>
  <c r="E4" i="2"/>
  <c r="E6" i="2" s="1"/>
  <c r="F4" i="2"/>
  <c r="F6" i="2" s="1"/>
  <c r="G4" i="2"/>
  <c r="G6" i="2" s="1"/>
  <c r="B4" i="2"/>
  <c r="B6" i="2" s="1"/>
  <c r="C6" i="2"/>
  <c r="C5" i="2"/>
  <c r="D5" i="2"/>
  <c r="E5" i="2"/>
  <c r="F5" i="2"/>
  <c r="G5" i="2"/>
  <c r="B5" i="2"/>
  <c r="D3" i="1"/>
  <c r="I4" i="1"/>
  <c r="I5" i="1"/>
  <c r="I6" i="1"/>
  <c r="I7" i="1"/>
  <c r="I8" i="1"/>
  <c r="I9" i="1"/>
  <c r="I10" i="1"/>
  <c r="I11" i="1"/>
  <c r="I12" i="1"/>
  <c r="I18" i="1"/>
  <c r="H4" i="1"/>
  <c r="H11" i="1"/>
  <c r="H19" i="1"/>
  <c r="G2" i="1"/>
  <c r="E9" i="1"/>
  <c r="G9" i="1" s="1"/>
  <c r="E10" i="1"/>
  <c r="G10" i="1" s="1"/>
  <c r="D4" i="1"/>
  <c r="E4" i="1" s="1"/>
  <c r="G4" i="1" s="1"/>
  <c r="D5" i="1"/>
  <c r="E5" i="1" s="1"/>
  <c r="G5" i="1" s="1"/>
  <c r="D6" i="1"/>
  <c r="E6" i="1" s="1"/>
  <c r="G6" i="1" s="1"/>
  <c r="D7" i="1"/>
  <c r="E7" i="1" s="1"/>
  <c r="G7" i="1" s="1"/>
  <c r="D8" i="1"/>
  <c r="E8" i="1" s="1"/>
  <c r="D9" i="1"/>
  <c r="D10" i="1"/>
  <c r="D11" i="1"/>
  <c r="E11" i="1" s="1"/>
  <c r="G11" i="1" s="1"/>
  <c r="D12" i="1"/>
  <c r="D13" i="1"/>
  <c r="E13" i="1" s="1"/>
  <c r="G13" i="1" s="1"/>
  <c r="D14" i="1"/>
  <c r="F14" i="1" s="1"/>
  <c r="I14" i="1" s="1"/>
  <c r="D15" i="1"/>
  <c r="F15" i="1" s="1"/>
  <c r="I15" i="1" s="1"/>
  <c r="D16" i="1"/>
  <c r="F16" i="1" s="1"/>
  <c r="I16" i="1" s="1"/>
  <c r="D17" i="1"/>
  <c r="F17" i="1" s="1"/>
  <c r="I17" i="1" s="1"/>
  <c r="D18" i="1"/>
  <c r="F18" i="1" s="1"/>
  <c r="D19" i="1"/>
  <c r="E19" i="1" s="1"/>
  <c r="G19" i="1" s="1"/>
  <c r="D20" i="1"/>
  <c r="E20" i="1" s="1"/>
  <c r="G20" i="1" s="1"/>
  <c r="D21" i="1"/>
  <c r="F21" i="1" s="1"/>
  <c r="I21" i="1" s="1"/>
  <c r="D22" i="1"/>
  <c r="F22" i="1" s="1"/>
  <c r="I22" i="1" s="1"/>
  <c r="E3" i="1"/>
  <c r="G3" i="1" s="1"/>
  <c r="F2" i="1"/>
  <c r="C2" i="1"/>
  <c r="L4" i="1"/>
  <c r="C4" i="1" s="1"/>
  <c r="L5" i="1"/>
  <c r="C5" i="1" s="1"/>
  <c r="L6" i="1"/>
  <c r="C6" i="1" s="1"/>
  <c r="L7" i="1"/>
  <c r="C7" i="1" s="1"/>
  <c r="L8" i="1"/>
  <c r="C8" i="1" s="1"/>
  <c r="L9" i="1"/>
  <c r="C9" i="1" s="1"/>
  <c r="F9" i="1" s="1"/>
  <c r="L10" i="1"/>
  <c r="C10" i="1" s="1"/>
  <c r="F10" i="1" s="1"/>
  <c r="L11" i="1"/>
  <c r="C11" i="1" s="1"/>
  <c r="F11" i="1" s="1"/>
  <c r="L12" i="1"/>
  <c r="C12" i="1" s="1"/>
  <c r="L3" i="1"/>
  <c r="C3" i="1" s="1"/>
  <c r="H7" i="2" l="1"/>
  <c r="G8" i="1"/>
  <c r="H8" i="1"/>
  <c r="H10" i="1"/>
  <c r="F8" i="1"/>
  <c r="F7" i="1"/>
  <c r="F12" i="1"/>
  <c r="H3" i="1"/>
  <c r="H7" i="1"/>
  <c r="E18" i="1"/>
  <c r="H6" i="1"/>
  <c r="F3" i="1"/>
  <c r="I3" i="1" s="1"/>
  <c r="E17" i="1"/>
  <c r="H13" i="1"/>
  <c r="H5" i="1"/>
  <c r="H9" i="1"/>
  <c r="E16" i="1"/>
  <c r="H20" i="1"/>
  <c r="F13" i="1"/>
  <c r="I13" i="1" s="1"/>
  <c r="F20" i="1"/>
  <c r="I20" i="1" s="1"/>
  <c r="E15" i="1"/>
  <c r="F19" i="1"/>
  <c r="I19" i="1" s="1"/>
  <c r="F6" i="1"/>
  <c r="F4" i="1"/>
  <c r="E22" i="1"/>
  <c r="E14" i="1"/>
  <c r="F5" i="1"/>
  <c r="E21" i="1"/>
  <c r="E12" i="1"/>
  <c r="G16" i="1" l="1"/>
  <c r="H16" i="1"/>
  <c r="G17" i="1"/>
  <c r="H17" i="1"/>
  <c r="G21" i="1"/>
  <c r="H21" i="1"/>
  <c r="G22" i="1"/>
  <c r="H22" i="1"/>
  <c r="G12" i="1"/>
  <c r="H12" i="1"/>
  <c r="G15" i="1"/>
  <c r="H15" i="1"/>
  <c r="G14" i="1"/>
  <c r="H14" i="1"/>
  <c r="G18" i="1"/>
  <c r="H18" i="1"/>
</calcChain>
</file>

<file path=xl/sharedStrings.xml><?xml version="1.0" encoding="utf-8"?>
<sst xmlns="http://schemas.openxmlformats.org/spreadsheetml/2006/main" count="20" uniqueCount="18">
  <si>
    <t>序号</t>
    <phoneticPr fontId="1" type="noConversion"/>
  </si>
  <si>
    <t>流量 (L/h)</t>
    <phoneticPr fontId="1" type="noConversion"/>
  </si>
  <si>
    <r>
      <t>左 (mmH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O)</t>
    </r>
    <phoneticPr fontId="1" type="noConversion"/>
  </si>
  <si>
    <r>
      <t>右 (mmH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O)</t>
    </r>
    <phoneticPr fontId="1" type="noConversion"/>
  </si>
  <si>
    <t>净压差 (kPa)</t>
    <phoneticPr fontId="1" type="noConversion"/>
  </si>
  <si>
    <t>-</t>
    <phoneticPr fontId="1" type="noConversion"/>
  </si>
  <si>
    <r>
      <t>净压差 (mmH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O)</t>
    </r>
    <phoneticPr fontId="1" type="noConversion"/>
  </si>
  <si>
    <t>近压差 (kPa)</t>
  </si>
  <si>
    <t>远压差 (kPa)</t>
  </si>
  <si>
    <t>Re</t>
    <phoneticPr fontId="1" type="noConversion"/>
  </si>
  <si>
    <t>λ</t>
    <phoneticPr fontId="1" type="noConversion"/>
  </si>
  <si>
    <t>Blasius方程λ</t>
    <phoneticPr fontId="1" type="noConversion"/>
  </si>
  <si>
    <t>流速（m/s）</t>
    <phoneticPr fontId="1" type="noConversion"/>
  </si>
  <si>
    <t>lnRe</t>
    <phoneticPr fontId="1" type="noConversion"/>
  </si>
  <si>
    <t>lnλ</t>
    <phoneticPr fontId="1" type="noConversion"/>
  </si>
  <si>
    <r>
      <t>ΔP</t>
    </r>
    <r>
      <rPr>
        <vertAlign val="subscript"/>
        <sz val="11"/>
        <color theme="1"/>
        <rFont val="等线"/>
        <family val="3"/>
        <charset val="134"/>
        <scheme val="minor"/>
      </rPr>
      <t>f</t>
    </r>
    <r>
      <rPr>
        <sz val="11"/>
        <color theme="1"/>
        <rFont val="等线"/>
        <family val="2"/>
        <scheme val="minor"/>
      </rPr>
      <t>'（kPa）</t>
    </r>
    <phoneticPr fontId="1" type="noConversion"/>
  </si>
  <si>
    <t>流速u（m/s)</t>
    <phoneticPr fontId="1" type="noConversion"/>
  </si>
  <si>
    <t>局部阻力系数ξ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</si>
</sst>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0"/>
    <numFmt numFmtId="179" formatCode="0.00000"/>
    <numFmt numFmtId="193" formatCode="0.0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1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93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96469816272966"/>
                  <c:y val="2.86493875765529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Sheet1!$H$3:$H$22</c:f>
              <c:numCache>
                <c:formatCode>0.00000</c:formatCode>
                <c:ptCount val="20"/>
                <c:pt idx="0">
                  <c:v>6.2232221483828658</c:v>
                </c:pt>
                <c:pt idx="1">
                  <c:v>6.9163693289428112</c:v>
                </c:pt>
                <c:pt idx="2">
                  <c:v>7.3218344370509758</c:v>
                </c:pt>
                <c:pt idx="3">
                  <c:v>7.6095165095027566</c:v>
                </c:pt>
                <c:pt idx="4">
                  <c:v>7.8326600608169663</c:v>
                </c:pt>
                <c:pt idx="5">
                  <c:v>8.0149816176109212</c:v>
                </c:pt>
                <c:pt idx="6">
                  <c:v>8.1691322974381801</c:v>
                </c:pt>
                <c:pt idx="7">
                  <c:v>8.3026636900627029</c:v>
                </c:pt>
                <c:pt idx="8">
                  <c:v>8.4204467257190849</c:v>
                </c:pt>
                <c:pt idx="9">
                  <c:v>8.5258072413769117</c:v>
                </c:pt>
                <c:pt idx="10">
                  <c:v>8.9958108706226465</c:v>
                </c:pt>
                <c:pt idx="11">
                  <c:v>9.401275978730812</c:v>
                </c:pt>
                <c:pt idx="12">
                  <c:v>9.7495826729990274</c:v>
                </c:pt>
                <c:pt idx="13">
                  <c:v>10.007411782301128</c:v>
                </c:pt>
                <c:pt idx="14">
                  <c:v>10.135245153811013</c:v>
                </c:pt>
                <c:pt idx="15">
                  <c:v>10.317566710604966</c:v>
                </c:pt>
                <c:pt idx="16">
                  <c:v>10.471717390432225</c:v>
                </c:pt>
                <c:pt idx="17">
                  <c:v>10.605248783056748</c:v>
                </c:pt>
                <c:pt idx="18">
                  <c:v>10.723031818713132</c:v>
                </c:pt>
                <c:pt idx="19">
                  <c:v>10.828392334370958</c:v>
                </c:pt>
              </c:numCache>
            </c:numRef>
          </c:xVal>
          <c:yVal>
            <c:numRef>
              <c:f>Sheet1!$I$3:$I$22</c:f>
              <c:numCache>
                <c:formatCode>0.00000</c:formatCode>
                <c:ptCount val="20"/>
                <c:pt idx="0">
                  <c:v>-2.4310826888982366</c:v>
                </c:pt>
                <c:pt idx="1">
                  <c:v>-2.511844045542698</c:v>
                </c:pt>
                <c:pt idx="2">
                  <c:v>-2.9080067609885489</c:v>
                </c:pt>
                <c:pt idx="3">
                  <c:v>-3.1682898592522135</c:v>
                </c:pt>
                <c:pt idx="4">
                  <c:v>-2.9651651748284964</c:v>
                </c:pt>
                <c:pt idx="5">
                  <c:v>-3.0068726375127262</c:v>
                </c:pt>
                <c:pt idx="6">
                  <c:v>-3.113729247947115</c:v>
                </c:pt>
                <c:pt idx="7">
                  <c:v>-3.0585470679143962</c:v>
                </c:pt>
                <c:pt idx="8">
                  <c:v>-3.0854021994464467</c:v>
                </c:pt>
                <c:pt idx="9">
                  <c:v>-3.1500783221882758</c:v>
                </c:pt>
                <c:pt idx="10">
                  <c:v>-3.5834028848631716</c:v>
                </c:pt>
                <c:pt idx="11">
                  <c:v>-3.5980016842843243</c:v>
                </c:pt>
                <c:pt idx="12">
                  <c:v>-3.6313208554104919</c:v>
                </c:pt>
                <c:pt idx="13">
                  <c:v>-3.6858531188009733</c:v>
                </c:pt>
                <c:pt idx="14">
                  <c:v>-3.7145619384310624</c:v>
                </c:pt>
                <c:pt idx="15">
                  <c:v>-3.713434542595754</c:v>
                </c:pt>
                <c:pt idx="16">
                  <c:v>-3.7873877519231978</c:v>
                </c:pt>
                <c:pt idx="17">
                  <c:v>-3.7536240347230385</c:v>
                </c:pt>
                <c:pt idx="18">
                  <c:v>-3.7847775914276593</c:v>
                </c:pt>
                <c:pt idx="19">
                  <c:v>-3.8048088162788405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73-4704-B30F-7AB4B4DC5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666832"/>
        <c:axId val="845666352"/>
      </c:scatterChart>
      <c:valAx>
        <c:axId val="845666832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5666352"/>
        <c:crosses val="autoZero"/>
        <c:crossBetween val="midCat"/>
      </c:valAx>
      <c:valAx>
        <c:axId val="845666352"/>
        <c:scaling>
          <c:orientation val="minMax"/>
          <c:max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566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Sheet1!$H$4:$H$6</c:f>
              <c:numCache>
                <c:formatCode>0.00000</c:formatCode>
                <c:ptCount val="3"/>
                <c:pt idx="0">
                  <c:v>6.9163693289428112</c:v>
                </c:pt>
                <c:pt idx="1">
                  <c:v>7.3218344370509758</c:v>
                </c:pt>
                <c:pt idx="2">
                  <c:v>7.6095165095027566</c:v>
                </c:pt>
              </c:numCache>
            </c:numRef>
          </c:xVal>
          <c:yVal>
            <c:numRef>
              <c:f>Sheet1!$I$4:$I$6</c:f>
              <c:numCache>
                <c:formatCode>0.00000</c:formatCode>
                <c:ptCount val="3"/>
                <c:pt idx="0">
                  <c:v>-2.511844045542698</c:v>
                </c:pt>
                <c:pt idx="1">
                  <c:v>-2.9080067609885489</c:v>
                </c:pt>
                <c:pt idx="2">
                  <c:v>-3.1682898592522135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71-42EF-BF6B-F9353376A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060336"/>
        <c:axId val="821062256"/>
      </c:scatterChart>
      <c:valAx>
        <c:axId val="82106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1062256"/>
        <c:crosses val="autoZero"/>
        <c:crossBetween val="midCat"/>
      </c:valAx>
      <c:valAx>
        <c:axId val="821062256"/>
        <c:scaling>
          <c:orientation val="minMax"/>
          <c:max val="-2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1060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412750</xdr:colOff>
      <xdr:row>12</xdr:row>
      <xdr:rowOff>95250</xdr:rowOff>
    </xdr:from>
    <xdr:to>
      <xdr:col>12</xdr:col>
      <xdr:colOff>457200</xdr:colOff>
      <xdr:row>21</xdr:row>
      <xdr:rowOff>3174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464C223-4F49-3B02-8BCF-27D00DD6A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6350</xdr:colOff>
      <xdr:row>23</xdr:row>
      <xdr:rowOff>79375</xdr:rowOff>
    </xdr:from>
    <xdr:to>
      <xdr:col>6</xdr:col>
      <xdr:colOff>196850</xdr:colOff>
      <xdr:row>38</xdr:row>
      <xdr:rowOff>155575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AFBFAB2-6026-7436-33BE-6925A4623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B7" workbookViewId="0">
      <selection activeCell="H13" sqref="H13"/>
    </sheetView>
  </sheetViews>
  <sheetFormatPr defaultRowHeight="14" x14ac:dyDescent="0.3"/>
  <cols>
    <col min="3" max="4" width="14.5" customWidth="1"/>
    <col min="5" max="5" width="10" customWidth="1"/>
    <col min="6" max="6" width="9.83203125" customWidth="1"/>
    <col min="7" max="7" width="11.08203125" bestFit="1" customWidth="1"/>
    <col min="8" max="9" width="11.08203125" customWidth="1"/>
    <col min="10" max="11" width="11.4140625" bestFit="1" customWidth="1"/>
    <col min="12" max="12" width="14.5" customWidth="1"/>
  </cols>
  <sheetData>
    <row r="1" spans="1:12" ht="16" x14ac:dyDescent="0.4">
      <c r="A1" t="s">
        <v>0</v>
      </c>
      <c r="B1" t="s">
        <v>1</v>
      </c>
      <c r="C1" t="s">
        <v>4</v>
      </c>
      <c r="D1" t="s">
        <v>12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2</v>
      </c>
      <c r="K1" t="s">
        <v>3</v>
      </c>
      <c r="L1" t="s">
        <v>6</v>
      </c>
    </row>
    <row r="2" spans="1:12" x14ac:dyDescent="0.3">
      <c r="A2">
        <v>1</v>
      </c>
      <c r="B2">
        <v>0</v>
      </c>
      <c r="C2" s="3">
        <f>L2*9.807*0.001</f>
        <v>0</v>
      </c>
      <c r="D2" s="3">
        <v>0</v>
      </c>
      <c r="E2" s="2">
        <v>0</v>
      </c>
      <c r="F2" s="3">
        <f>0.008*997.8*E2/9.36/0.0001</f>
        <v>0</v>
      </c>
      <c r="G2" s="5" t="e">
        <f>0.3163/E2^0.25</f>
        <v>#DIV/0!</v>
      </c>
      <c r="H2" s="5"/>
      <c r="I2" s="5"/>
      <c r="J2" t="s">
        <v>5</v>
      </c>
      <c r="K2" t="s">
        <v>5</v>
      </c>
      <c r="L2">
        <v>0</v>
      </c>
    </row>
    <row r="3" spans="1:12" x14ac:dyDescent="0.3">
      <c r="A3">
        <v>2</v>
      </c>
      <c r="B3">
        <v>10</v>
      </c>
      <c r="C3" s="3">
        <f t="shared" ref="C3:C12" si="0">L3*9.807*0.001</f>
        <v>2.8440300000000057E-2</v>
      </c>
      <c r="D3" s="3">
        <f t="shared" ref="D3:D22" si="1">B3/3600*4/3.1415926535/0.008/0.008/1000</f>
        <v>5.5262133019598716E-2</v>
      </c>
      <c r="E3" s="2">
        <f>0.008*996.68*D3/8.737/0.0001</f>
        <v>504.32562882429801</v>
      </c>
      <c r="F3" s="4">
        <f>2*0.008*C3*1000/996.68/1.7/D3^2</f>
        <v>8.7941567661541709E-2</v>
      </c>
      <c r="G3" s="5">
        <f t="shared" ref="G3:G22" si="2">0.3163/E3^0.25</f>
        <v>6.674541416123117E-2</v>
      </c>
      <c r="H3" s="5">
        <f>LN(E3)</f>
        <v>6.2232221483828658</v>
      </c>
      <c r="I3" s="5">
        <f>LN(F3)</f>
        <v>-2.4310826888982366</v>
      </c>
      <c r="J3">
        <v>207.9</v>
      </c>
      <c r="K3">
        <v>210.8</v>
      </c>
      <c r="L3">
        <f>K3-J3</f>
        <v>2.9000000000000057</v>
      </c>
    </row>
    <row r="4" spans="1:12" x14ac:dyDescent="0.3">
      <c r="A4">
        <v>3</v>
      </c>
      <c r="B4">
        <v>20</v>
      </c>
      <c r="C4" s="3">
        <f t="shared" si="0"/>
        <v>0.1049348999999999</v>
      </c>
      <c r="D4" s="3">
        <f t="shared" si="1"/>
        <v>0.11052426603919743</v>
      </c>
      <c r="E4" s="2">
        <f t="shared" ref="E4:E22" si="3">0.008*996.68*D4/8.737/0.0001</f>
        <v>1008.651257648596</v>
      </c>
      <c r="F4" s="4">
        <f t="shared" ref="F4:F22" si="4">2*0.008*C4*1000/996.68/1.7/D4^2</f>
        <v>8.1118514998145999E-2</v>
      </c>
      <c r="G4" s="5">
        <f t="shared" si="2"/>
        <v>5.6125979502803805E-2</v>
      </c>
      <c r="H4" s="5">
        <f t="shared" ref="H4:H22" si="5">LN(E4)</f>
        <v>6.9163693289428112</v>
      </c>
      <c r="I4" s="5">
        <f t="shared" ref="I4:I22" si="6">LN(F4)</f>
        <v>-2.511844045542698</v>
      </c>
      <c r="J4">
        <v>204.8</v>
      </c>
      <c r="K4">
        <v>215.5</v>
      </c>
      <c r="L4">
        <f t="shared" ref="L4:L12" si="7">K4-J4</f>
        <v>10.699999999999989</v>
      </c>
    </row>
    <row r="5" spans="1:12" x14ac:dyDescent="0.3">
      <c r="A5">
        <v>4</v>
      </c>
      <c r="B5">
        <v>30</v>
      </c>
      <c r="C5" s="3">
        <f t="shared" si="0"/>
        <v>0.15887339999999989</v>
      </c>
      <c r="D5" s="3">
        <f t="shared" si="1"/>
        <v>0.16578639905879616</v>
      </c>
      <c r="E5" s="2">
        <f t="shared" si="3"/>
        <v>1512.9768864728942</v>
      </c>
      <c r="F5" s="4">
        <f t="shared" si="4"/>
        <v>5.4584421307163671E-2</v>
      </c>
      <c r="G5" s="5">
        <f t="shared" si="2"/>
        <v>5.0715547533298599E-2</v>
      </c>
      <c r="H5" s="5">
        <f t="shared" si="5"/>
        <v>7.3218344370509758</v>
      </c>
      <c r="I5" s="5">
        <f t="shared" si="6"/>
        <v>-2.9080067609885489</v>
      </c>
      <c r="J5">
        <v>202.4</v>
      </c>
      <c r="K5">
        <v>218.6</v>
      </c>
      <c r="L5">
        <f t="shared" si="7"/>
        <v>16.199999999999989</v>
      </c>
    </row>
    <row r="6" spans="1:12" x14ac:dyDescent="0.3">
      <c r="A6">
        <v>5</v>
      </c>
      <c r="B6">
        <v>40</v>
      </c>
      <c r="C6" s="3">
        <f t="shared" si="0"/>
        <v>0.2177154000000002</v>
      </c>
      <c r="D6" s="3">
        <f t="shared" si="1"/>
        <v>0.22104853207839487</v>
      </c>
      <c r="E6" s="2">
        <f t="shared" si="3"/>
        <v>2017.302515297192</v>
      </c>
      <c r="F6" s="4">
        <f t="shared" si="4"/>
        <v>4.2075491424272062E-2</v>
      </c>
      <c r="G6" s="5">
        <f t="shared" si="2"/>
        <v>4.7196134966511177E-2</v>
      </c>
      <c r="H6" s="5">
        <f t="shared" si="5"/>
        <v>7.6095165095027566</v>
      </c>
      <c r="I6" s="5">
        <f t="shared" si="6"/>
        <v>-3.1682898592522135</v>
      </c>
      <c r="J6">
        <v>199.2</v>
      </c>
      <c r="K6">
        <v>221.4</v>
      </c>
      <c r="L6">
        <f t="shared" si="7"/>
        <v>22.200000000000017</v>
      </c>
    </row>
    <row r="7" spans="1:12" x14ac:dyDescent="0.3">
      <c r="A7">
        <v>6</v>
      </c>
      <c r="B7">
        <v>50</v>
      </c>
      <c r="C7" s="3">
        <f t="shared" si="0"/>
        <v>0.41679750000000004</v>
      </c>
      <c r="D7" s="3">
        <f t="shared" si="1"/>
        <v>0.27631066509799351</v>
      </c>
      <c r="E7" s="2">
        <f t="shared" si="3"/>
        <v>2521.6281441214892</v>
      </c>
      <c r="F7" s="4">
        <f t="shared" si="4"/>
        <v>5.1551953456765748E-2</v>
      </c>
      <c r="G7" s="5">
        <f t="shared" si="2"/>
        <v>4.463534862195933E-2</v>
      </c>
      <c r="H7" s="5">
        <f t="shared" si="5"/>
        <v>7.8326600608169663</v>
      </c>
      <c r="I7" s="5">
        <f t="shared" si="6"/>
        <v>-2.9651651748284964</v>
      </c>
      <c r="J7" s="1">
        <v>190</v>
      </c>
      <c r="K7">
        <v>232.5</v>
      </c>
      <c r="L7">
        <f t="shared" si="7"/>
        <v>42.5</v>
      </c>
    </row>
    <row r="8" spans="1:12" x14ac:dyDescent="0.3">
      <c r="A8">
        <v>7</v>
      </c>
      <c r="B8">
        <v>60</v>
      </c>
      <c r="C8" s="3">
        <f t="shared" si="0"/>
        <v>0.57567089999999999</v>
      </c>
      <c r="D8" s="3">
        <f t="shared" si="1"/>
        <v>0.33157279811759233</v>
      </c>
      <c r="E8" s="2">
        <f t="shared" si="3"/>
        <v>3025.9537729457884</v>
      </c>
      <c r="F8" s="4">
        <f t="shared" si="4"/>
        <v>4.9446073005100455E-2</v>
      </c>
      <c r="G8" s="5">
        <f t="shared" si="2"/>
        <v>4.2646522118380152E-2</v>
      </c>
      <c r="H8" s="5">
        <f t="shared" si="5"/>
        <v>8.0149816176109212</v>
      </c>
      <c r="I8" s="5">
        <f t="shared" si="6"/>
        <v>-3.0068726375127262</v>
      </c>
      <c r="J8">
        <v>182.5</v>
      </c>
      <c r="K8">
        <v>241.2</v>
      </c>
      <c r="L8">
        <f t="shared" si="7"/>
        <v>58.699999999999989</v>
      </c>
    </row>
    <row r="9" spans="1:12" x14ac:dyDescent="0.3">
      <c r="A9">
        <v>8</v>
      </c>
      <c r="B9">
        <v>70</v>
      </c>
      <c r="C9" s="3">
        <f t="shared" si="0"/>
        <v>0.70414259999999995</v>
      </c>
      <c r="D9" s="3">
        <f t="shared" si="1"/>
        <v>0.38683493113719103</v>
      </c>
      <c r="E9" s="2">
        <f t="shared" si="3"/>
        <v>3530.2794017700858</v>
      </c>
      <c r="F9" s="4">
        <f t="shared" si="4"/>
        <v>4.4434937073178617E-2</v>
      </c>
      <c r="G9" s="5">
        <f t="shared" si="2"/>
        <v>4.1034289890150469E-2</v>
      </c>
      <c r="H9" s="5">
        <f t="shared" si="5"/>
        <v>8.1691322974381801</v>
      </c>
      <c r="I9" s="5">
        <f t="shared" si="6"/>
        <v>-3.113729247947115</v>
      </c>
      <c r="J9">
        <v>178.4</v>
      </c>
      <c r="K9">
        <v>250.2</v>
      </c>
      <c r="L9">
        <f t="shared" si="7"/>
        <v>71.799999999999983</v>
      </c>
    </row>
    <row r="10" spans="1:12" x14ac:dyDescent="0.3">
      <c r="A10">
        <v>9</v>
      </c>
      <c r="B10">
        <v>80</v>
      </c>
      <c r="C10" s="3">
        <f t="shared" si="0"/>
        <v>0.97187370000000028</v>
      </c>
      <c r="D10" s="3">
        <f t="shared" si="1"/>
        <v>0.44209706415678973</v>
      </c>
      <c r="E10" s="2">
        <f t="shared" si="3"/>
        <v>4034.6050305943841</v>
      </c>
      <c r="F10" s="4">
        <f t="shared" si="4"/>
        <v>4.6955869371006292E-2</v>
      </c>
      <c r="G10" s="5">
        <f t="shared" si="2"/>
        <v>3.9687060707169729E-2</v>
      </c>
      <c r="H10" s="5">
        <f t="shared" si="5"/>
        <v>8.3026636900627029</v>
      </c>
      <c r="I10" s="5">
        <f t="shared" si="6"/>
        <v>-3.0585470679143962</v>
      </c>
      <c r="J10">
        <v>162.69999999999999</v>
      </c>
      <c r="K10">
        <v>261.8</v>
      </c>
      <c r="L10">
        <f t="shared" si="7"/>
        <v>99.100000000000023</v>
      </c>
    </row>
    <row r="11" spans="1:12" x14ac:dyDescent="0.3">
      <c r="A11">
        <v>10</v>
      </c>
      <c r="B11">
        <v>90</v>
      </c>
      <c r="C11" s="3">
        <f t="shared" si="0"/>
        <v>1.1974347000000001</v>
      </c>
      <c r="D11" s="3">
        <f t="shared" si="1"/>
        <v>0.49735919717638843</v>
      </c>
      <c r="E11" s="2">
        <f t="shared" si="3"/>
        <v>4538.9306594186819</v>
      </c>
      <c r="F11" s="4">
        <f t="shared" si="4"/>
        <v>4.5711645004147393E-2</v>
      </c>
      <c r="G11" s="5">
        <f t="shared" si="2"/>
        <v>3.8535482833159877E-2</v>
      </c>
      <c r="H11" s="5">
        <f t="shared" si="5"/>
        <v>8.4204467257190849</v>
      </c>
      <c r="I11" s="5">
        <f t="shared" si="6"/>
        <v>-3.0854021994464467</v>
      </c>
      <c r="J11">
        <v>150.1</v>
      </c>
      <c r="K11">
        <v>272.2</v>
      </c>
      <c r="L11">
        <f t="shared" si="7"/>
        <v>122.1</v>
      </c>
    </row>
    <row r="12" spans="1:12" x14ac:dyDescent="0.3">
      <c r="A12">
        <v>11</v>
      </c>
      <c r="B12">
        <v>100</v>
      </c>
      <c r="C12" s="3">
        <f t="shared" si="0"/>
        <v>1.3857291000000003</v>
      </c>
      <c r="D12" s="3">
        <f t="shared" si="1"/>
        <v>0.55262133019598703</v>
      </c>
      <c r="E12" s="2">
        <f t="shared" si="3"/>
        <v>5043.2562882429784</v>
      </c>
      <c r="F12" s="4">
        <f t="shared" si="4"/>
        <v>4.2848770726123545E-2</v>
      </c>
      <c r="G12" s="5">
        <f t="shared" si="2"/>
        <v>3.7533704649805426E-2</v>
      </c>
      <c r="H12" s="5">
        <f t="shared" si="5"/>
        <v>8.5258072413769117</v>
      </c>
      <c r="I12" s="5">
        <f t="shared" si="6"/>
        <v>-3.1500783221882758</v>
      </c>
      <c r="J12">
        <v>140.5</v>
      </c>
      <c r="K12">
        <v>281.8</v>
      </c>
      <c r="L12">
        <f t="shared" si="7"/>
        <v>141.30000000000001</v>
      </c>
    </row>
    <row r="13" spans="1:12" x14ac:dyDescent="0.3">
      <c r="A13">
        <v>12</v>
      </c>
      <c r="B13">
        <v>160</v>
      </c>
      <c r="C13">
        <v>2.2999999999999998</v>
      </c>
      <c r="D13" s="3">
        <f t="shared" si="1"/>
        <v>0.88419412831357946</v>
      </c>
      <c r="E13" s="2">
        <f t="shared" si="3"/>
        <v>8069.2100611887681</v>
      </c>
      <c r="F13" s="4">
        <f t="shared" si="4"/>
        <v>2.7781001675761582E-2</v>
      </c>
      <c r="G13" s="5">
        <f t="shared" si="2"/>
        <v>3.3372707080615592E-2</v>
      </c>
      <c r="H13" s="5">
        <f t="shared" si="5"/>
        <v>8.9958108706226465</v>
      </c>
      <c r="I13" s="5">
        <f t="shared" si="6"/>
        <v>-3.5834028848631716</v>
      </c>
    </row>
    <row r="14" spans="1:12" x14ac:dyDescent="0.3">
      <c r="A14">
        <v>13</v>
      </c>
      <c r="B14">
        <v>240</v>
      </c>
      <c r="C14">
        <v>5.0999999999999996</v>
      </c>
      <c r="D14" s="3">
        <f t="shared" si="1"/>
        <v>1.3262911924703693</v>
      </c>
      <c r="E14" s="2">
        <f t="shared" si="3"/>
        <v>12103.815091783154</v>
      </c>
      <c r="F14" s="4">
        <f t="shared" si="4"/>
        <v>2.7378378463069383E-2</v>
      </c>
      <c r="G14" s="5">
        <f t="shared" si="2"/>
        <v>3.0155644983928691E-2</v>
      </c>
      <c r="H14" s="5">
        <f t="shared" si="5"/>
        <v>9.401275978730812</v>
      </c>
      <c r="I14" s="5">
        <f t="shared" si="6"/>
        <v>-3.5980016842843243</v>
      </c>
    </row>
    <row r="15" spans="1:12" x14ac:dyDescent="0.3">
      <c r="A15">
        <v>14</v>
      </c>
      <c r="B15">
        <v>340</v>
      </c>
      <c r="C15">
        <v>9.9</v>
      </c>
      <c r="D15" s="3">
        <f t="shared" si="1"/>
        <v>1.8789125226663563</v>
      </c>
      <c r="E15" s="2">
        <f t="shared" si="3"/>
        <v>17147.071380026133</v>
      </c>
      <c r="F15" s="4">
        <f t="shared" si="4"/>
        <v>2.6481183483921381E-2</v>
      </c>
      <c r="G15" s="5">
        <f t="shared" si="2"/>
        <v>2.7640869655489092E-2</v>
      </c>
      <c r="H15" s="5">
        <f t="shared" si="5"/>
        <v>9.7495826729990274</v>
      </c>
      <c r="I15" s="5">
        <f t="shared" si="6"/>
        <v>-3.6313208554104919</v>
      </c>
    </row>
    <row r="16" spans="1:12" x14ac:dyDescent="0.3">
      <c r="A16">
        <v>15</v>
      </c>
      <c r="B16">
        <v>440</v>
      </c>
      <c r="C16">
        <v>15.7</v>
      </c>
      <c r="D16" s="3">
        <f t="shared" si="1"/>
        <v>2.4315338528623438</v>
      </c>
      <c r="E16" s="2">
        <f t="shared" si="3"/>
        <v>22190.327668269114</v>
      </c>
      <c r="F16" s="4">
        <f t="shared" si="4"/>
        <v>2.507577298221814E-2</v>
      </c>
      <c r="G16" s="5">
        <f t="shared" si="2"/>
        <v>2.5915420684062381E-2</v>
      </c>
      <c r="H16" s="5">
        <f t="shared" si="5"/>
        <v>10.007411782301128</v>
      </c>
      <c r="I16" s="5">
        <f t="shared" si="6"/>
        <v>-3.6858531188009733</v>
      </c>
    </row>
    <row r="17" spans="1:9" x14ac:dyDescent="0.3">
      <c r="A17">
        <v>16</v>
      </c>
      <c r="B17">
        <v>500</v>
      </c>
      <c r="C17">
        <v>19.700000000000003</v>
      </c>
      <c r="D17" s="3">
        <f t="shared" si="1"/>
        <v>2.7631066509799362</v>
      </c>
      <c r="E17" s="2">
        <f t="shared" si="3"/>
        <v>25216.281441214905</v>
      </c>
      <c r="F17" s="4">
        <f t="shared" si="4"/>
        <v>2.4366112634991447E-2</v>
      </c>
      <c r="G17" s="5">
        <f t="shared" si="2"/>
        <v>2.5100301094405822E-2</v>
      </c>
      <c r="H17" s="5">
        <f t="shared" si="5"/>
        <v>10.135245153811013</v>
      </c>
      <c r="I17" s="5">
        <f t="shared" si="6"/>
        <v>-3.7145619384310624</v>
      </c>
    </row>
    <row r="18" spans="1:9" x14ac:dyDescent="0.3">
      <c r="A18">
        <v>17</v>
      </c>
      <c r="B18">
        <v>600</v>
      </c>
      <c r="C18">
        <v>28.400000000000002</v>
      </c>
      <c r="D18" s="3">
        <f t="shared" si="1"/>
        <v>3.315727981175923</v>
      </c>
      <c r="E18" s="2">
        <f t="shared" si="3"/>
        <v>30259.537729457883</v>
      </c>
      <c r="F18" s="4">
        <f t="shared" si="4"/>
        <v>2.4393598379644572E-2</v>
      </c>
      <c r="G18" s="5">
        <f t="shared" si="2"/>
        <v>2.3981901762809434E-2</v>
      </c>
      <c r="H18" s="5">
        <f t="shared" si="5"/>
        <v>10.317566710604966</v>
      </c>
      <c r="I18" s="5">
        <f t="shared" si="6"/>
        <v>-3.713434542595754</v>
      </c>
    </row>
    <row r="19" spans="1:9" x14ac:dyDescent="0.3">
      <c r="A19">
        <v>18</v>
      </c>
      <c r="B19">
        <v>700</v>
      </c>
      <c r="C19">
        <v>35.9</v>
      </c>
      <c r="D19" s="3">
        <f t="shared" si="1"/>
        <v>3.8683493113719098</v>
      </c>
      <c r="E19" s="2">
        <f t="shared" si="3"/>
        <v>35302.794017700864</v>
      </c>
      <c r="F19" s="4">
        <f t="shared" si="4"/>
        <v>2.2654704330161431E-2</v>
      </c>
      <c r="G19" s="5">
        <f t="shared" si="2"/>
        <v>2.3075276955072159E-2</v>
      </c>
      <c r="H19" s="5">
        <f t="shared" si="5"/>
        <v>10.471717390432225</v>
      </c>
      <c r="I19" s="5">
        <f t="shared" si="6"/>
        <v>-3.7873877519231978</v>
      </c>
    </row>
    <row r="20" spans="1:9" x14ac:dyDescent="0.3">
      <c r="A20">
        <v>19</v>
      </c>
      <c r="B20">
        <v>800</v>
      </c>
      <c r="C20">
        <v>48.5</v>
      </c>
      <c r="D20" s="3">
        <f t="shared" si="1"/>
        <v>4.4209706415678962</v>
      </c>
      <c r="E20" s="2">
        <f t="shared" si="3"/>
        <v>40346.050305943827</v>
      </c>
      <c r="F20" s="4">
        <f t="shared" si="4"/>
        <v>2.3432670978685871E-2</v>
      </c>
      <c r="G20" s="5">
        <f t="shared" si="2"/>
        <v>2.2317674310979661E-2</v>
      </c>
      <c r="H20" s="5">
        <f t="shared" si="5"/>
        <v>10.605248783056748</v>
      </c>
      <c r="I20" s="5">
        <f t="shared" si="6"/>
        <v>-3.7536240347230385</v>
      </c>
    </row>
    <row r="21" spans="1:9" x14ac:dyDescent="0.3">
      <c r="A21">
        <v>20</v>
      </c>
      <c r="B21">
        <v>900</v>
      </c>
      <c r="C21">
        <v>59.5</v>
      </c>
      <c r="D21" s="3">
        <f t="shared" si="1"/>
        <v>4.9735919717638852</v>
      </c>
      <c r="E21" s="2">
        <f t="shared" si="3"/>
        <v>45389.306594186826</v>
      </c>
      <c r="F21" s="4">
        <f t="shared" si="4"/>
        <v>2.2713913984176083E-2</v>
      </c>
      <c r="G21" s="5">
        <f t="shared" si="2"/>
        <v>2.167009448324907E-2</v>
      </c>
      <c r="H21" s="5">
        <f t="shared" si="5"/>
        <v>10.723031818713132</v>
      </c>
      <c r="I21" s="5">
        <f t="shared" si="6"/>
        <v>-3.7847775914276593</v>
      </c>
    </row>
    <row r="22" spans="1:9" x14ac:dyDescent="0.3">
      <c r="A22">
        <v>21</v>
      </c>
      <c r="B22">
        <v>1000</v>
      </c>
      <c r="C22">
        <v>72</v>
      </c>
      <c r="D22" s="3">
        <f t="shared" si="1"/>
        <v>5.5262133019598725</v>
      </c>
      <c r="E22" s="2">
        <f t="shared" si="3"/>
        <v>50432.562882429811</v>
      </c>
      <c r="F22" s="4">
        <f t="shared" si="4"/>
        <v>2.2263453169027718E-2</v>
      </c>
      <c r="G22" s="5">
        <f t="shared" si="2"/>
        <v>2.1106753212074746E-2</v>
      </c>
      <c r="H22" s="5">
        <f t="shared" si="5"/>
        <v>10.828392334370958</v>
      </c>
      <c r="I22" s="5">
        <f t="shared" si="6"/>
        <v>-3.8048088162788405</v>
      </c>
    </row>
    <row r="25" spans="1:9" x14ac:dyDescent="0.3">
      <c r="D25">
        <v>0.6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8654-00A2-483C-8A24-1CD8D79A2863}">
  <dimension ref="A1:H7"/>
  <sheetViews>
    <sheetView zoomScale="59" zoomScaleNormal="59" workbookViewId="0">
      <selection activeCell="H7" sqref="H7"/>
    </sheetView>
  </sheetViews>
  <sheetFormatPr defaultRowHeight="14" x14ac:dyDescent="0.3"/>
  <cols>
    <col min="1" max="1" width="13.5" customWidth="1"/>
    <col min="2" max="2" width="20.83203125" bestFit="1" customWidth="1"/>
    <col min="3" max="3" width="15.33203125" customWidth="1"/>
    <col min="4" max="4" width="13.5" customWidth="1"/>
    <col min="5" max="5" width="14.5" customWidth="1"/>
    <col min="6" max="6" width="11.6640625" customWidth="1"/>
    <col min="7" max="7" width="14.9140625" customWidth="1"/>
  </cols>
  <sheetData>
    <row r="1" spans="1:8" x14ac:dyDescent="0.3">
      <c r="A1" t="s">
        <v>1</v>
      </c>
      <c r="B1">
        <v>800</v>
      </c>
      <c r="C1">
        <v>840</v>
      </c>
      <c r="D1">
        <v>880</v>
      </c>
      <c r="E1">
        <v>920</v>
      </c>
      <c r="F1">
        <v>960</v>
      </c>
      <c r="G1">
        <v>1000</v>
      </c>
    </row>
    <row r="2" spans="1:8" x14ac:dyDescent="0.3">
      <c r="A2" t="s">
        <v>7</v>
      </c>
      <c r="B2">
        <v>13.8</v>
      </c>
      <c r="C2">
        <v>15.2</v>
      </c>
      <c r="D2">
        <v>16.8</v>
      </c>
      <c r="E2">
        <v>18.600000000000001</v>
      </c>
      <c r="F2">
        <v>20.2</v>
      </c>
      <c r="G2" s="1">
        <v>22</v>
      </c>
    </row>
    <row r="3" spans="1:8" x14ac:dyDescent="0.3">
      <c r="A3" t="s">
        <v>8</v>
      </c>
      <c r="B3">
        <v>14.2</v>
      </c>
      <c r="C3">
        <v>15.6</v>
      </c>
      <c r="D3">
        <v>17.100000000000001</v>
      </c>
      <c r="E3" s="1">
        <v>19</v>
      </c>
      <c r="F3">
        <v>20.6</v>
      </c>
      <c r="G3">
        <v>22.5</v>
      </c>
    </row>
    <row r="4" spans="1:8" ht="16" x14ac:dyDescent="0.4">
      <c r="A4" t="s">
        <v>15</v>
      </c>
      <c r="B4">
        <f>2*B2-B3</f>
        <v>13.400000000000002</v>
      </c>
      <c r="C4">
        <f t="shared" ref="C4:G4" si="0">2*C2-C3</f>
        <v>14.799999999999999</v>
      </c>
      <c r="D4">
        <f t="shared" si="0"/>
        <v>16.5</v>
      </c>
      <c r="E4">
        <f t="shared" si="0"/>
        <v>18.200000000000003</v>
      </c>
      <c r="F4">
        <f t="shared" si="0"/>
        <v>19.799999999999997</v>
      </c>
      <c r="G4">
        <f t="shared" si="0"/>
        <v>21.5</v>
      </c>
    </row>
    <row r="5" spans="1:8" x14ac:dyDescent="0.3">
      <c r="A5" t="s">
        <v>16</v>
      </c>
      <c r="B5" s="3">
        <f>B1/3600*4/3.1415926535/0.02/0.02/1000</f>
        <v>0.70735530265086355</v>
      </c>
      <c r="C5" s="3">
        <f t="shared" ref="C5:G5" si="1">C1/3600*4/3.1415926535/0.02/0.02/1000</f>
        <v>0.7427230677834068</v>
      </c>
      <c r="D5" s="3">
        <f t="shared" si="1"/>
        <v>0.77809083291594994</v>
      </c>
      <c r="E5" s="3">
        <f t="shared" si="1"/>
        <v>0.81345859804849296</v>
      </c>
      <c r="F5" s="3">
        <f t="shared" si="1"/>
        <v>0.84882636318103644</v>
      </c>
      <c r="G5" s="3">
        <f t="shared" si="1"/>
        <v>0.88419412831357957</v>
      </c>
    </row>
    <row r="6" spans="1:8" x14ac:dyDescent="0.3">
      <c r="A6" t="s">
        <v>17</v>
      </c>
      <c r="B6" s="1">
        <f>2*B4/996.68/B5^2*1000</f>
        <v>53.740762412860825</v>
      </c>
      <c r="C6" s="1">
        <f t="shared" ref="C6:G6" si="2">2*C4/996.68/C5^2*1000</f>
        <v>53.837160030482949</v>
      </c>
      <c r="D6" s="1">
        <f t="shared" si="2"/>
        <v>54.688699877402463</v>
      </c>
      <c r="E6" s="1">
        <f t="shared" si="2"/>
        <v>55.191822132103226</v>
      </c>
      <c r="F6" s="1">
        <f t="shared" si="2"/>
        <v>55.144439043047448</v>
      </c>
      <c r="G6" s="1">
        <f t="shared" si="2"/>
        <v>55.184544089624225</v>
      </c>
      <c r="H6" s="1">
        <f>AVERAGE(B6:G6)</f>
        <v>54.631237930920186</v>
      </c>
    </row>
    <row r="7" spans="1:8" x14ac:dyDescent="0.3">
      <c r="B7" s="6">
        <f>(B6-$H$6)^2</f>
        <v>0.79294664826308747</v>
      </c>
      <c r="C7" s="6">
        <f t="shared" ref="C7:G7" si="3">(C6-$H$6)^2</f>
        <v>0.63055971196281102</v>
      </c>
      <c r="D7" s="6">
        <f t="shared" si="3"/>
        <v>3.301875293532115E-3</v>
      </c>
      <c r="E7" s="6">
        <f t="shared" si="3"/>
        <v>0.31425464661602753</v>
      </c>
      <c r="F7" s="6">
        <f t="shared" si="3"/>
        <v>0.26337538148865919</v>
      </c>
      <c r="G7" s="6">
        <f t="shared" si="3"/>
        <v>0.30614770525981955</v>
      </c>
      <c r="H7" s="7">
        <f>AVERAGE(B7:G7)</f>
        <v>0.38509766148065622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CLJ</dc:creator>
  <cp:lastModifiedBy>丽娇 陈</cp:lastModifiedBy>
  <dcterms:created xsi:type="dcterms:W3CDTF">2015-06-05T18:19:34Z</dcterms:created>
  <dcterms:modified xsi:type="dcterms:W3CDTF">2024-11-06T06:28:53Z</dcterms:modified>
</cp:coreProperties>
</file>